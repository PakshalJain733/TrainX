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gre\Downloads\"/>
    </mc:Choice>
  </mc:AlternateContent>
  <xr:revisionPtr revIDLastSave="0" documentId="13_ncr:1_{510C6ED7-088E-444A-A638-AFF87ED233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 Responses 1" sheetId="1" r:id="rId1"/>
    <sheet name="Payment Status" sheetId="2" r:id="rId2"/>
    <sheet name="Registered Students" sheetId="3" r:id="rId3"/>
    <sheet name="Mentor Allocation" sheetId="4" r:id="rId4"/>
  </sheets>
  <definedNames>
    <definedName name="_xlnm._FilterDatabase" localSheetId="3" hidden="1">'Mentor Allocation'!$B$6:$G$168</definedName>
    <definedName name="_xlnm._FilterDatabase" localSheetId="1" hidden="1">'Payment Status'!$A$1:$N$170</definedName>
    <definedName name="_xlnm._FilterDatabase" localSheetId="2" hidden="1">'Registered Students'!$B$5:$F$168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3" i="2" l="1"/>
  <c r="I163" i="2"/>
  <c r="H163" i="2"/>
  <c r="G163" i="2"/>
  <c r="F163" i="2"/>
  <c r="E163" i="2"/>
  <c r="D163" i="2"/>
  <c r="C163" i="2"/>
  <c r="B163" i="2"/>
  <c r="A163" i="2"/>
  <c r="J162" i="2"/>
  <c r="I162" i="2"/>
  <c r="H162" i="2"/>
  <c r="G162" i="2"/>
  <c r="F162" i="2"/>
  <c r="E162" i="2"/>
  <c r="D162" i="2"/>
  <c r="C162" i="2"/>
  <c r="B162" i="2"/>
  <c r="A162" i="2"/>
  <c r="J161" i="2"/>
  <c r="I161" i="2"/>
  <c r="H161" i="2"/>
  <c r="G161" i="2"/>
  <c r="F161" i="2"/>
  <c r="E161" i="2"/>
  <c r="D161" i="2"/>
  <c r="C161" i="2"/>
  <c r="B161" i="2"/>
  <c r="A161" i="2"/>
  <c r="J160" i="2"/>
  <c r="I160" i="2"/>
  <c r="H160" i="2"/>
  <c r="G160" i="2"/>
  <c r="F160" i="2"/>
  <c r="E160" i="2"/>
  <c r="D160" i="2"/>
  <c r="C160" i="2"/>
  <c r="B160" i="2"/>
  <c r="A160" i="2"/>
  <c r="J159" i="2"/>
  <c r="I159" i="2"/>
  <c r="H159" i="2"/>
  <c r="G159" i="2"/>
  <c r="F159" i="2"/>
  <c r="E159" i="2"/>
  <c r="D159" i="2"/>
  <c r="C159" i="2"/>
  <c r="B159" i="2"/>
  <c r="A159" i="2"/>
  <c r="J158" i="2"/>
  <c r="I158" i="2"/>
  <c r="H158" i="2"/>
  <c r="G158" i="2"/>
  <c r="F158" i="2"/>
  <c r="E158" i="2"/>
  <c r="D158" i="2"/>
  <c r="C158" i="2"/>
  <c r="B158" i="2"/>
  <c r="A158" i="2"/>
  <c r="J157" i="2"/>
  <c r="I157" i="2"/>
  <c r="H157" i="2"/>
  <c r="G157" i="2"/>
  <c r="F157" i="2"/>
  <c r="E157" i="2"/>
  <c r="D157" i="2"/>
  <c r="C157" i="2"/>
  <c r="B157" i="2"/>
  <c r="A157" i="2"/>
  <c r="J156" i="2"/>
  <c r="I156" i="2"/>
  <c r="H156" i="2"/>
  <c r="G156" i="2"/>
  <c r="F156" i="2"/>
  <c r="E156" i="2"/>
  <c r="D156" i="2"/>
  <c r="C156" i="2"/>
  <c r="B156" i="2"/>
  <c r="A156" i="2"/>
  <c r="J155" i="2"/>
  <c r="I155" i="2"/>
  <c r="H155" i="2"/>
  <c r="G155" i="2"/>
  <c r="F155" i="2"/>
  <c r="E155" i="2"/>
  <c r="D155" i="2"/>
  <c r="C155" i="2"/>
  <c r="B155" i="2"/>
  <c r="A155" i="2"/>
  <c r="J154" i="2"/>
  <c r="I154" i="2"/>
  <c r="H154" i="2"/>
  <c r="G154" i="2"/>
  <c r="F154" i="2"/>
  <c r="E154" i="2"/>
  <c r="D154" i="2"/>
  <c r="C154" i="2"/>
  <c r="B154" i="2"/>
  <c r="A154" i="2"/>
  <c r="J153" i="2"/>
  <c r="I153" i="2"/>
  <c r="H153" i="2"/>
  <c r="G153" i="2"/>
  <c r="F153" i="2"/>
  <c r="E153" i="2"/>
  <c r="D153" i="2"/>
  <c r="C153" i="2"/>
  <c r="B153" i="2"/>
  <c r="A153" i="2"/>
  <c r="J152" i="2"/>
  <c r="I152" i="2"/>
  <c r="H152" i="2"/>
  <c r="G152" i="2"/>
  <c r="F152" i="2"/>
  <c r="E152" i="2"/>
  <c r="D152" i="2"/>
  <c r="C152" i="2"/>
  <c r="B152" i="2"/>
  <c r="A152" i="2"/>
  <c r="J151" i="2"/>
  <c r="I151" i="2"/>
  <c r="H151" i="2"/>
  <c r="G151" i="2"/>
  <c r="F151" i="2"/>
  <c r="E151" i="2"/>
  <c r="D151" i="2"/>
  <c r="C151" i="2"/>
  <c r="B151" i="2"/>
  <c r="A151" i="2"/>
  <c r="J150" i="2"/>
  <c r="I150" i="2"/>
  <c r="H150" i="2"/>
  <c r="G150" i="2"/>
  <c r="F150" i="2"/>
  <c r="E150" i="2"/>
  <c r="D150" i="2"/>
  <c r="C150" i="2"/>
  <c r="B150" i="2"/>
  <c r="A150" i="2"/>
  <c r="J149" i="2"/>
  <c r="I149" i="2"/>
  <c r="H149" i="2"/>
  <c r="G149" i="2"/>
  <c r="F149" i="2"/>
  <c r="E149" i="2"/>
  <c r="D149" i="2"/>
  <c r="C149" i="2"/>
  <c r="B149" i="2"/>
  <c r="A149" i="2"/>
  <c r="J148" i="2"/>
  <c r="I148" i="2"/>
  <c r="H148" i="2"/>
  <c r="G148" i="2"/>
  <c r="F148" i="2"/>
  <c r="E148" i="2"/>
  <c r="D148" i="2"/>
  <c r="C148" i="2"/>
  <c r="B148" i="2"/>
  <c r="A148" i="2"/>
  <c r="J147" i="2"/>
  <c r="I147" i="2"/>
  <c r="H147" i="2"/>
  <c r="G147" i="2"/>
  <c r="F147" i="2"/>
  <c r="E147" i="2"/>
  <c r="D147" i="2"/>
  <c r="C147" i="2"/>
  <c r="B147" i="2"/>
  <c r="A147" i="2"/>
  <c r="J146" i="2"/>
  <c r="I146" i="2"/>
  <c r="H146" i="2"/>
  <c r="G146" i="2"/>
  <c r="F146" i="2"/>
  <c r="E146" i="2"/>
  <c r="D146" i="2"/>
  <c r="C146" i="2"/>
  <c r="B146" i="2"/>
  <c r="A146" i="2"/>
  <c r="J145" i="2"/>
  <c r="I145" i="2"/>
  <c r="H145" i="2"/>
  <c r="G145" i="2"/>
  <c r="F145" i="2"/>
  <c r="E145" i="2"/>
  <c r="D145" i="2"/>
  <c r="C145" i="2"/>
  <c r="B145" i="2"/>
  <c r="A145" i="2"/>
  <c r="J144" i="2"/>
  <c r="I144" i="2"/>
  <c r="H144" i="2"/>
  <c r="G144" i="2"/>
  <c r="F144" i="2"/>
  <c r="E144" i="2"/>
  <c r="D144" i="2"/>
  <c r="C144" i="2"/>
  <c r="B144" i="2"/>
  <c r="A144" i="2"/>
  <c r="J143" i="2"/>
  <c r="I143" i="2"/>
  <c r="H143" i="2"/>
  <c r="G143" i="2"/>
  <c r="F143" i="2"/>
  <c r="E143" i="2"/>
  <c r="D143" i="2"/>
  <c r="C143" i="2"/>
  <c r="B143" i="2"/>
  <c r="A143" i="2"/>
  <c r="J142" i="2"/>
  <c r="I142" i="2"/>
  <c r="H142" i="2"/>
  <c r="G142" i="2"/>
  <c r="F142" i="2"/>
  <c r="E142" i="2"/>
  <c r="D142" i="2"/>
  <c r="C142" i="2"/>
  <c r="B142" i="2"/>
  <c r="A142" i="2"/>
  <c r="J141" i="2"/>
  <c r="I141" i="2"/>
  <c r="H141" i="2"/>
  <c r="G141" i="2"/>
  <c r="F141" i="2"/>
  <c r="E141" i="2"/>
  <c r="D141" i="2"/>
  <c r="C141" i="2"/>
  <c r="B141" i="2"/>
  <c r="A141" i="2"/>
  <c r="J140" i="2"/>
  <c r="I140" i="2"/>
  <c r="H140" i="2"/>
  <c r="G140" i="2"/>
  <c r="F140" i="2"/>
  <c r="E140" i="2"/>
  <c r="D140" i="2"/>
  <c r="C140" i="2"/>
  <c r="B140" i="2"/>
  <c r="A140" i="2"/>
  <c r="J139" i="2"/>
  <c r="I139" i="2"/>
  <c r="H139" i="2"/>
  <c r="G139" i="2"/>
  <c r="F139" i="2"/>
  <c r="E139" i="2"/>
  <c r="D139" i="2"/>
  <c r="C139" i="2"/>
  <c r="B139" i="2"/>
  <c r="A139" i="2"/>
  <c r="J138" i="2"/>
  <c r="I138" i="2"/>
  <c r="H138" i="2"/>
  <c r="G138" i="2"/>
  <c r="F138" i="2"/>
  <c r="E138" i="2"/>
  <c r="D138" i="2"/>
  <c r="C138" i="2"/>
  <c r="B138" i="2"/>
  <c r="A138" i="2"/>
  <c r="J137" i="2"/>
  <c r="I137" i="2"/>
  <c r="H137" i="2"/>
  <c r="G137" i="2"/>
  <c r="F137" i="2"/>
  <c r="E137" i="2"/>
  <c r="D137" i="2"/>
  <c r="C137" i="2"/>
  <c r="B137" i="2"/>
  <c r="A137" i="2"/>
  <c r="J136" i="2"/>
  <c r="I136" i="2"/>
  <c r="H136" i="2"/>
  <c r="G136" i="2"/>
  <c r="F136" i="2"/>
  <c r="E136" i="2"/>
  <c r="D136" i="2"/>
  <c r="C136" i="2"/>
  <c r="B136" i="2"/>
  <c r="A136" i="2"/>
  <c r="J135" i="2"/>
  <c r="I135" i="2"/>
  <c r="H135" i="2"/>
  <c r="G135" i="2"/>
  <c r="F135" i="2"/>
  <c r="E135" i="2"/>
  <c r="D135" i="2"/>
  <c r="C135" i="2"/>
  <c r="B135" i="2"/>
  <c r="A135" i="2"/>
  <c r="J134" i="2"/>
  <c r="I134" i="2"/>
  <c r="H134" i="2"/>
  <c r="G134" i="2"/>
  <c r="F134" i="2"/>
  <c r="E134" i="2"/>
  <c r="D134" i="2"/>
  <c r="C134" i="2"/>
  <c r="B134" i="2"/>
  <c r="A134" i="2"/>
  <c r="J133" i="2"/>
  <c r="I133" i="2"/>
  <c r="H133" i="2"/>
  <c r="G133" i="2"/>
  <c r="F133" i="2"/>
  <c r="E133" i="2"/>
  <c r="D133" i="2"/>
  <c r="C133" i="2"/>
  <c r="B133" i="2"/>
  <c r="A133" i="2"/>
  <c r="J132" i="2"/>
  <c r="I132" i="2"/>
  <c r="H132" i="2"/>
  <c r="G132" i="2"/>
  <c r="F132" i="2"/>
  <c r="E132" i="2"/>
  <c r="D132" i="2"/>
  <c r="C132" i="2"/>
  <c r="B132" i="2"/>
  <c r="A132" i="2"/>
  <c r="J131" i="2"/>
  <c r="I131" i="2"/>
  <c r="H131" i="2"/>
  <c r="G131" i="2"/>
  <c r="F131" i="2"/>
  <c r="E131" i="2"/>
  <c r="D131" i="2"/>
  <c r="C131" i="2"/>
  <c r="B131" i="2"/>
  <c r="A131" i="2"/>
  <c r="J130" i="2"/>
  <c r="I130" i="2"/>
  <c r="H130" i="2"/>
  <c r="G130" i="2"/>
  <c r="F130" i="2"/>
  <c r="E130" i="2"/>
  <c r="D130" i="2"/>
  <c r="C130" i="2"/>
  <c r="B130" i="2"/>
  <c r="A130" i="2"/>
  <c r="J129" i="2"/>
  <c r="I129" i="2"/>
  <c r="H129" i="2"/>
  <c r="G129" i="2"/>
  <c r="F129" i="2"/>
  <c r="E129" i="2"/>
  <c r="D129" i="2"/>
  <c r="C129" i="2"/>
  <c r="B129" i="2"/>
  <c r="A129" i="2"/>
  <c r="J128" i="2"/>
  <c r="I128" i="2"/>
  <c r="H128" i="2"/>
  <c r="G128" i="2"/>
  <c r="F128" i="2"/>
  <c r="E128" i="2"/>
  <c r="D128" i="2"/>
  <c r="C128" i="2"/>
  <c r="B128" i="2"/>
  <c r="A128" i="2"/>
  <c r="J127" i="2"/>
  <c r="I127" i="2"/>
  <c r="H127" i="2"/>
  <c r="G127" i="2"/>
  <c r="F127" i="2"/>
  <c r="E127" i="2"/>
  <c r="D127" i="2"/>
  <c r="C127" i="2"/>
  <c r="B127" i="2"/>
  <c r="A127" i="2"/>
  <c r="J126" i="2"/>
  <c r="I126" i="2"/>
  <c r="H126" i="2"/>
  <c r="G126" i="2"/>
  <c r="F126" i="2"/>
  <c r="E126" i="2"/>
  <c r="D126" i="2"/>
  <c r="C126" i="2"/>
  <c r="B126" i="2"/>
  <c r="A126" i="2"/>
  <c r="J125" i="2"/>
  <c r="I125" i="2"/>
  <c r="H125" i="2"/>
  <c r="G125" i="2"/>
  <c r="F125" i="2"/>
  <c r="E125" i="2"/>
  <c r="D125" i="2"/>
  <c r="C125" i="2"/>
  <c r="B125" i="2"/>
  <c r="A125" i="2"/>
  <c r="J124" i="2"/>
  <c r="I124" i="2"/>
  <c r="H124" i="2"/>
  <c r="G124" i="2"/>
  <c r="F124" i="2"/>
  <c r="E124" i="2"/>
  <c r="D124" i="2"/>
  <c r="C124" i="2"/>
  <c r="B124" i="2"/>
  <c r="A124" i="2"/>
  <c r="J123" i="2"/>
  <c r="I123" i="2"/>
  <c r="H123" i="2"/>
  <c r="G123" i="2"/>
  <c r="F123" i="2"/>
  <c r="E123" i="2"/>
  <c r="D123" i="2"/>
  <c r="C123" i="2"/>
  <c r="B123" i="2"/>
  <c r="A123" i="2"/>
  <c r="J122" i="2"/>
  <c r="I122" i="2"/>
  <c r="H122" i="2"/>
  <c r="G122" i="2"/>
  <c r="F122" i="2"/>
  <c r="E122" i="2"/>
  <c r="D122" i="2"/>
  <c r="C122" i="2"/>
  <c r="B122" i="2"/>
  <c r="A122" i="2"/>
  <c r="J121" i="2"/>
  <c r="I121" i="2"/>
  <c r="H121" i="2"/>
  <c r="G121" i="2"/>
  <c r="F121" i="2"/>
  <c r="E121" i="2"/>
  <c r="D121" i="2"/>
  <c r="C121" i="2"/>
  <c r="B121" i="2"/>
  <c r="A121" i="2"/>
  <c r="J120" i="2"/>
  <c r="I120" i="2"/>
  <c r="H120" i="2"/>
  <c r="G120" i="2"/>
  <c r="F120" i="2"/>
  <c r="E120" i="2"/>
  <c r="D120" i="2"/>
  <c r="C120" i="2"/>
  <c r="B120" i="2"/>
  <c r="A120" i="2"/>
  <c r="J119" i="2"/>
  <c r="I119" i="2"/>
  <c r="H119" i="2"/>
  <c r="G119" i="2"/>
  <c r="F119" i="2"/>
  <c r="E119" i="2"/>
  <c r="D119" i="2"/>
  <c r="C119" i="2"/>
  <c r="B119" i="2"/>
  <c r="A119" i="2"/>
  <c r="J118" i="2"/>
  <c r="I118" i="2"/>
  <c r="H118" i="2"/>
  <c r="G118" i="2"/>
  <c r="F118" i="2"/>
  <c r="E118" i="2"/>
  <c r="D118" i="2"/>
  <c r="C118" i="2"/>
  <c r="B118" i="2"/>
  <c r="A118" i="2"/>
  <c r="J117" i="2"/>
  <c r="I117" i="2"/>
  <c r="H117" i="2"/>
  <c r="G117" i="2"/>
  <c r="F117" i="2"/>
  <c r="E117" i="2"/>
  <c r="D117" i="2"/>
  <c r="C117" i="2"/>
  <c r="B117" i="2"/>
  <c r="A117" i="2"/>
  <c r="J116" i="2"/>
  <c r="I116" i="2"/>
  <c r="H116" i="2"/>
  <c r="G116" i="2"/>
  <c r="F116" i="2"/>
  <c r="E116" i="2"/>
  <c r="D116" i="2"/>
  <c r="C116" i="2"/>
  <c r="B116" i="2"/>
  <c r="A116" i="2"/>
  <c r="J115" i="2"/>
  <c r="I115" i="2"/>
  <c r="H115" i="2"/>
  <c r="G115" i="2"/>
  <c r="F115" i="2"/>
  <c r="E115" i="2"/>
  <c r="D115" i="2"/>
  <c r="C115" i="2"/>
  <c r="B115" i="2"/>
  <c r="A115" i="2"/>
  <c r="J114" i="2"/>
  <c r="I114" i="2"/>
  <c r="H114" i="2"/>
  <c r="G114" i="2"/>
  <c r="F114" i="2"/>
  <c r="E114" i="2"/>
  <c r="D114" i="2"/>
  <c r="C114" i="2"/>
  <c r="B114" i="2"/>
  <c r="A114" i="2"/>
  <c r="J113" i="2"/>
  <c r="I113" i="2"/>
  <c r="H113" i="2"/>
  <c r="G113" i="2"/>
  <c r="F113" i="2"/>
  <c r="E113" i="2"/>
  <c r="D113" i="2"/>
  <c r="C113" i="2"/>
  <c r="B113" i="2"/>
  <c r="A113" i="2"/>
  <c r="J112" i="2"/>
  <c r="I112" i="2"/>
  <c r="H112" i="2"/>
  <c r="G112" i="2"/>
  <c r="F112" i="2"/>
  <c r="E112" i="2"/>
  <c r="D112" i="2"/>
  <c r="C112" i="2"/>
  <c r="B112" i="2"/>
  <c r="A112" i="2"/>
  <c r="J111" i="2"/>
  <c r="I111" i="2"/>
  <c r="H111" i="2"/>
  <c r="G111" i="2"/>
  <c r="F111" i="2"/>
  <c r="E111" i="2"/>
  <c r="D111" i="2"/>
  <c r="C111" i="2"/>
  <c r="B111" i="2"/>
  <c r="A111" i="2"/>
  <c r="J110" i="2"/>
  <c r="I110" i="2"/>
  <c r="H110" i="2"/>
  <c r="G110" i="2"/>
  <c r="F110" i="2"/>
  <c r="E110" i="2"/>
  <c r="D110" i="2"/>
  <c r="C110" i="2"/>
  <c r="B110" i="2"/>
  <c r="A110" i="2"/>
  <c r="J109" i="2"/>
  <c r="I109" i="2"/>
  <c r="H109" i="2"/>
  <c r="G109" i="2"/>
  <c r="F109" i="2"/>
  <c r="E109" i="2"/>
  <c r="D109" i="2"/>
  <c r="C109" i="2"/>
  <c r="B109" i="2"/>
  <c r="A109" i="2"/>
  <c r="J108" i="2"/>
  <c r="I108" i="2"/>
  <c r="H108" i="2"/>
  <c r="G108" i="2"/>
  <c r="F108" i="2"/>
  <c r="E108" i="2"/>
  <c r="D108" i="2"/>
  <c r="C108" i="2"/>
  <c r="B108" i="2"/>
  <c r="A108" i="2"/>
  <c r="J107" i="2"/>
  <c r="I107" i="2"/>
  <c r="H107" i="2"/>
  <c r="G107" i="2"/>
  <c r="F107" i="2"/>
  <c r="E107" i="2"/>
  <c r="D107" i="2"/>
  <c r="C107" i="2"/>
  <c r="B107" i="2"/>
  <c r="A107" i="2"/>
  <c r="J106" i="2"/>
  <c r="I106" i="2"/>
  <c r="H106" i="2"/>
  <c r="G106" i="2"/>
  <c r="F106" i="2"/>
  <c r="E106" i="2"/>
  <c r="D106" i="2"/>
  <c r="C106" i="2"/>
  <c r="B106" i="2"/>
  <c r="A106" i="2"/>
  <c r="J105" i="2"/>
  <c r="I105" i="2"/>
  <c r="H105" i="2"/>
  <c r="G105" i="2"/>
  <c r="F105" i="2"/>
  <c r="E105" i="2"/>
  <c r="D105" i="2"/>
  <c r="C105" i="2"/>
  <c r="B105" i="2"/>
  <c r="A105" i="2"/>
  <c r="J104" i="2"/>
  <c r="I104" i="2"/>
  <c r="H104" i="2"/>
  <c r="G104" i="2"/>
  <c r="F104" i="2"/>
  <c r="E104" i="2"/>
  <c r="D104" i="2"/>
  <c r="C104" i="2"/>
  <c r="B104" i="2"/>
  <c r="A104" i="2"/>
  <c r="J103" i="2"/>
  <c r="I103" i="2"/>
  <c r="H103" i="2"/>
  <c r="G103" i="2"/>
  <c r="F103" i="2"/>
  <c r="E103" i="2"/>
  <c r="D103" i="2"/>
  <c r="C103" i="2"/>
  <c r="B103" i="2"/>
  <c r="A103" i="2"/>
  <c r="J102" i="2"/>
  <c r="I102" i="2"/>
  <c r="H102" i="2"/>
  <c r="G102" i="2"/>
  <c r="F102" i="2"/>
  <c r="E102" i="2"/>
  <c r="D102" i="2"/>
  <c r="C102" i="2"/>
  <c r="B102" i="2"/>
  <c r="A102" i="2"/>
  <c r="J101" i="2"/>
  <c r="I101" i="2"/>
  <c r="H101" i="2"/>
  <c r="G101" i="2"/>
  <c r="F101" i="2"/>
  <c r="E101" i="2"/>
  <c r="D101" i="2"/>
  <c r="C101" i="2"/>
  <c r="B101" i="2"/>
  <c r="A101" i="2"/>
  <c r="J100" i="2"/>
  <c r="I100" i="2"/>
  <c r="H100" i="2"/>
  <c r="G100" i="2"/>
  <c r="F100" i="2"/>
  <c r="E100" i="2"/>
  <c r="D100" i="2"/>
  <c r="C100" i="2"/>
  <c r="B100" i="2"/>
  <c r="A100" i="2"/>
  <c r="J99" i="2"/>
  <c r="I99" i="2"/>
  <c r="H99" i="2"/>
  <c r="G99" i="2"/>
  <c r="F99" i="2"/>
  <c r="E99" i="2"/>
  <c r="D99" i="2"/>
  <c r="C99" i="2"/>
  <c r="B99" i="2"/>
  <c r="A99" i="2"/>
  <c r="J98" i="2"/>
  <c r="I98" i="2"/>
  <c r="H98" i="2"/>
  <c r="G98" i="2"/>
  <c r="F98" i="2"/>
  <c r="E98" i="2"/>
  <c r="D98" i="2"/>
  <c r="C98" i="2"/>
  <c r="B98" i="2"/>
  <c r="A98" i="2"/>
  <c r="J97" i="2"/>
  <c r="I97" i="2"/>
  <c r="H97" i="2"/>
  <c r="G97" i="2"/>
  <c r="F97" i="2"/>
  <c r="E97" i="2"/>
  <c r="D97" i="2"/>
  <c r="C97" i="2"/>
  <c r="B97" i="2"/>
  <c r="A97" i="2"/>
  <c r="J96" i="2"/>
  <c r="I96" i="2"/>
  <c r="H96" i="2"/>
  <c r="G96" i="2"/>
  <c r="F96" i="2"/>
  <c r="E96" i="2"/>
  <c r="D96" i="2"/>
  <c r="C96" i="2"/>
  <c r="B96" i="2"/>
  <c r="A96" i="2"/>
  <c r="J95" i="2"/>
  <c r="I95" i="2"/>
  <c r="H95" i="2"/>
  <c r="G95" i="2"/>
  <c r="F95" i="2"/>
  <c r="E95" i="2"/>
  <c r="D95" i="2"/>
  <c r="C95" i="2"/>
  <c r="B95" i="2"/>
  <c r="A95" i="2"/>
  <c r="J94" i="2"/>
  <c r="I94" i="2"/>
  <c r="H94" i="2"/>
  <c r="G94" i="2"/>
  <c r="F94" i="2"/>
  <c r="E94" i="2"/>
  <c r="D94" i="2"/>
  <c r="C94" i="2"/>
  <c r="B94" i="2"/>
  <c r="A94" i="2"/>
  <c r="J93" i="2"/>
  <c r="I93" i="2"/>
  <c r="H93" i="2"/>
  <c r="G93" i="2"/>
  <c r="F93" i="2"/>
  <c r="E93" i="2"/>
  <c r="D93" i="2"/>
  <c r="C93" i="2"/>
  <c r="B93" i="2"/>
  <c r="A93" i="2"/>
  <c r="J92" i="2"/>
  <c r="I92" i="2"/>
  <c r="H92" i="2"/>
  <c r="G92" i="2"/>
  <c r="F92" i="2"/>
  <c r="E92" i="2"/>
  <c r="D92" i="2"/>
  <c r="C92" i="2"/>
  <c r="B92" i="2"/>
  <c r="A92" i="2"/>
  <c r="J91" i="2"/>
  <c r="I91" i="2"/>
  <c r="H91" i="2"/>
  <c r="G91" i="2"/>
  <c r="F91" i="2"/>
  <c r="E91" i="2"/>
  <c r="D91" i="2"/>
  <c r="C91" i="2"/>
  <c r="B91" i="2"/>
  <c r="A91" i="2"/>
  <c r="J90" i="2"/>
  <c r="I90" i="2"/>
  <c r="H90" i="2"/>
  <c r="G90" i="2"/>
  <c r="F90" i="2"/>
  <c r="E90" i="2"/>
  <c r="D90" i="2"/>
  <c r="C90" i="2"/>
  <c r="B90" i="2"/>
  <c r="A90" i="2"/>
  <c r="J89" i="2"/>
  <c r="I89" i="2"/>
  <c r="H89" i="2"/>
  <c r="G89" i="2"/>
  <c r="F89" i="2"/>
  <c r="E89" i="2"/>
  <c r="D89" i="2"/>
  <c r="C89" i="2"/>
  <c r="B89" i="2"/>
  <c r="A89" i="2"/>
  <c r="J88" i="2"/>
  <c r="I88" i="2"/>
  <c r="H88" i="2"/>
  <c r="G88" i="2"/>
  <c r="F88" i="2"/>
  <c r="E88" i="2"/>
  <c r="D88" i="2"/>
  <c r="C88" i="2"/>
  <c r="B88" i="2"/>
  <c r="A88" i="2"/>
  <c r="J87" i="2"/>
  <c r="I87" i="2"/>
  <c r="H87" i="2"/>
  <c r="G87" i="2"/>
  <c r="F87" i="2"/>
  <c r="E87" i="2"/>
  <c r="D87" i="2"/>
  <c r="C87" i="2"/>
  <c r="B87" i="2"/>
  <c r="A87" i="2"/>
  <c r="J86" i="2"/>
  <c r="I86" i="2"/>
  <c r="H86" i="2"/>
  <c r="G86" i="2"/>
  <c r="F86" i="2"/>
  <c r="E86" i="2"/>
  <c r="D86" i="2"/>
  <c r="C86" i="2"/>
  <c r="B86" i="2"/>
  <c r="A86" i="2"/>
  <c r="J85" i="2"/>
  <c r="I85" i="2"/>
  <c r="H85" i="2"/>
  <c r="G85" i="2"/>
  <c r="F85" i="2"/>
  <c r="E85" i="2"/>
  <c r="D85" i="2"/>
  <c r="C85" i="2"/>
  <c r="B85" i="2"/>
  <c r="A85" i="2"/>
  <c r="J84" i="2"/>
  <c r="I84" i="2"/>
  <c r="H84" i="2"/>
  <c r="G84" i="2"/>
  <c r="F84" i="2"/>
  <c r="E84" i="2"/>
  <c r="D84" i="2"/>
  <c r="C84" i="2"/>
  <c r="B84" i="2"/>
  <c r="A84" i="2"/>
  <c r="J83" i="2"/>
  <c r="I83" i="2"/>
  <c r="H83" i="2"/>
  <c r="G83" i="2"/>
  <c r="F83" i="2"/>
  <c r="E83" i="2"/>
  <c r="D83" i="2"/>
  <c r="C83" i="2"/>
  <c r="B83" i="2"/>
  <c r="A83" i="2"/>
  <c r="J82" i="2"/>
  <c r="I82" i="2"/>
  <c r="H82" i="2"/>
  <c r="G82" i="2"/>
  <c r="F82" i="2"/>
  <c r="E82" i="2"/>
  <c r="D82" i="2"/>
  <c r="C82" i="2"/>
  <c r="B82" i="2"/>
  <c r="A82" i="2"/>
  <c r="J81" i="2"/>
  <c r="I81" i="2"/>
  <c r="H81" i="2"/>
  <c r="G81" i="2"/>
  <c r="F81" i="2"/>
  <c r="E81" i="2"/>
  <c r="D81" i="2"/>
  <c r="C81" i="2"/>
  <c r="B81" i="2"/>
  <c r="A81" i="2"/>
  <c r="J80" i="2"/>
  <c r="I80" i="2"/>
  <c r="H80" i="2"/>
  <c r="G80" i="2"/>
  <c r="F80" i="2"/>
  <c r="E80" i="2"/>
  <c r="D80" i="2"/>
  <c r="C80" i="2"/>
  <c r="B80" i="2"/>
  <c r="A80" i="2"/>
  <c r="J79" i="2"/>
  <c r="I79" i="2"/>
  <c r="H79" i="2"/>
  <c r="G79" i="2"/>
  <c r="F79" i="2"/>
  <c r="E79" i="2"/>
  <c r="D79" i="2"/>
  <c r="C79" i="2"/>
  <c r="B79" i="2"/>
  <c r="A79" i="2"/>
  <c r="J78" i="2"/>
  <c r="I78" i="2"/>
  <c r="H78" i="2"/>
  <c r="G78" i="2"/>
  <c r="F78" i="2"/>
  <c r="E78" i="2"/>
  <c r="D78" i="2"/>
  <c r="C78" i="2"/>
  <c r="B78" i="2"/>
  <c r="A78" i="2"/>
  <c r="J77" i="2"/>
  <c r="I77" i="2"/>
  <c r="H77" i="2"/>
  <c r="G77" i="2"/>
  <c r="F77" i="2"/>
  <c r="E77" i="2"/>
  <c r="D77" i="2"/>
  <c r="C77" i="2"/>
  <c r="B77" i="2"/>
  <c r="A77" i="2"/>
  <c r="J76" i="2"/>
  <c r="I76" i="2"/>
  <c r="H76" i="2"/>
  <c r="G76" i="2"/>
  <c r="F76" i="2"/>
  <c r="E76" i="2"/>
  <c r="D76" i="2"/>
  <c r="C76" i="2"/>
  <c r="B76" i="2"/>
  <c r="A76" i="2"/>
  <c r="J75" i="2"/>
  <c r="I75" i="2"/>
  <c r="H75" i="2"/>
  <c r="G75" i="2"/>
  <c r="F75" i="2"/>
  <c r="E75" i="2"/>
  <c r="D75" i="2"/>
  <c r="C75" i="2"/>
  <c r="B75" i="2"/>
  <c r="A75" i="2"/>
  <c r="J74" i="2"/>
  <c r="I74" i="2"/>
  <c r="H74" i="2"/>
  <c r="G74" i="2"/>
  <c r="F74" i="2"/>
  <c r="E74" i="2"/>
  <c r="D74" i="2"/>
  <c r="C74" i="2"/>
  <c r="B74" i="2"/>
  <c r="A74" i="2"/>
  <c r="J73" i="2"/>
  <c r="I73" i="2"/>
  <c r="H73" i="2"/>
  <c r="G73" i="2"/>
  <c r="F73" i="2"/>
  <c r="E73" i="2"/>
  <c r="D73" i="2"/>
  <c r="C73" i="2"/>
  <c r="B73" i="2"/>
  <c r="A73" i="2"/>
  <c r="J72" i="2"/>
  <c r="I72" i="2"/>
  <c r="H72" i="2"/>
  <c r="G72" i="2"/>
  <c r="F72" i="2"/>
  <c r="E72" i="2"/>
  <c r="D72" i="2"/>
  <c r="C72" i="2"/>
  <c r="B72" i="2"/>
  <c r="A72" i="2"/>
  <c r="J71" i="2"/>
  <c r="I71" i="2"/>
  <c r="H71" i="2"/>
  <c r="G71" i="2"/>
  <c r="F71" i="2"/>
  <c r="E71" i="2"/>
  <c r="D71" i="2"/>
  <c r="C71" i="2"/>
  <c r="B71" i="2"/>
  <c r="A71" i="2"/>
  <c r="J70" i="2"/>
  <c r="I70" i="2"/>
  <c r="H70" i="2"/>
  <c r="G70" i="2"/>
  <c r="F70" i="2"/>
  <c r="E70" i="2"/>
  <c r="D70" i="2"/>
  <c r="C70" i="2"/>
  <c r="B70" i="2"/>
  <c r="A70" i="2"/>
  <c r="J69" i="2"/>
  <c r="I69" i="2"/>
  <c r="H69" i="2"/>
  <c r="G69" i="2"/>
  <c r="F69" i="2"/>
  <c r="E69" i="2"/>
  <c r="D69" i="2"/>
  <c r="C69" i="2"/>
  <c r="B69" i="2"/>
  <c r="A69" i="2"/>
  <c r="J68" i="2"/>
  <c r="I68" i="2"/>
  <c r="H68" i="2"/>
  <c r="G68" i="2"/>
  <c r="F68" i="2"/>
  <c r="E68" i="2"/>
  <c r="D68" i="2"/>
  <c r="C68" i="2"/>
  <c r="B68" i="2"/>
  <c r="A68" i="2"/>
  <c r="J67" i="2"/>
  <c r="I67" i="2"/>
  <c r="H67" i="2"/>
  <c r="G67" i="2"/>
  <c r="F67" i="2"/>
  <c r="E67" i="2"/>
  <c r="D67" i="2"/>
  <c r="C67" i="2"/>
  <c r="B67" i="2"/>
  <c r="A67" i="2"/>
  <c r="J66" i="2"/>
  <c r="I66" i="2"/>
  <c r="H66" i="2"/>
  <c r="G66" i="2"/>
  <c r="F66" i="2"/>
  <c r="E66" i="2"/>
  <c r="D66" i="2"/>
  <c r="C66" i="2"/>
  <c r="B66" i="2"/>
  <c r="A66" i="2"/>
  <c r="J65" i="2"/>
  <c r="I65" i="2"/>
  <c r="H65" i="2"/>
  <c r="G65" i="2"/>
  <c r="F65" i="2"/>
  <c r="E65" i="2"/>
  <c r="D65" i="2"/>
  <c r="C65" i="2"/>
  <c r="B65" i="2"/>
  <c r="A65" i="2"/>
  <c r="J64" i="2"/>
  <c r="I64" i="2"/>
  <c r="H64" i="2"/>
  <c r="G64" i="2"/>
  <c r="F64" i="2"/>
  <c r="E64" i="2"/>
  <c r="D64" i="2"/>
  <c r="C64" i="2"/>
  <c r="B64" i="2"/>
  <c r="A64" i="2"/>
  <c r="J63" i="2"/>
  <c r="I63" i="2"/>
  <c r="H63" i="2"/>
  <c r="G63" i="2"/>
  <c r="F63" i="2"/>
  <c r="E63" i="2"/>
  <c r="D63" i="2"/>
  <c r="C63" i="2"/>
  <c r="B63" i="2"/>
  <c r="A63" i="2"/>
  <c r="J62" i="2"/>
  <c r="I62" i="2"/>
  <c r="H62" i="2"/>
  <c r="G62" i="2"/>
  <c r="F62" i="2"/>
  <c r="E62" i="2"/>
  <c r="D62" i="2"/>
  <c r="C62" i="2"/>
  <c r="B62" i="2"/>
  <c r="A62" i="2"/>
  <c r="J61" i="2"/>
  <c r="I61" i="2"/>
  <c r="H61" i="2"/>
  <c r="G61" i="2"/>
  <c r="F61" i="2"/>
  <c r="E61" i="2"/>
  <c r="D61" i="2"/>
  <c r="C61" i="2"/>
  <c r="B61" i="2"/>
  <c r="A61" i="2"/>
  <c r="J60" i="2"/>
  <c r="I60" i="2"/>
  <c r="H60" i="2"/>
  <c r="G60" i="2"/>
  <c r="F60" i="2"/>
  <c r="E60" i="2"/>
  <c r="D60" i="2"/>
  <c r="C60" i="2"/>
  <c r="B60" i="2"/>
  <c r="A60" i="2"/>
  <c r="J59" i="2"/>
  <c r="I59" i="2"/>
  <c r="H59" i="2"/>
  <c r="G59" i="2"/>
  <c r="F59" i="2"/>
  <c r="E59" i="2"/>
  <c r="D59" i="2"/>
  <c r="C59" i="2"/>
  <c r="B59" i="2"/>
  <c r="A59" i="2"/>
  <c r="J58" i="2"/>
  <c r="I58" i="2"/>
  <c r="H58" i="2"/>
  <c r="G58" i="2"/>
  <c r="F58" i="2"/>
  <c r="E58" i="2"/>
  <c r="D58" i="2"/>
  <c r="C58" i="2"/>
  <c r="B58" i="2"/>
  <c r="A58" i="2"/>
  <c r="J57" i="2"/>
  <c r="I57" i="2"/>
  <c r="H57" i="2"/>
  <c r="G57" i="2"/>
  <c r="F57" i="2"/>
  <c r="E57" i="2"/>
  <c r="D57" i="2"/>
  <c r="C57" i="2"/>
  <c r="B57" i="2"/>
  <c r="A57" i="2"/>
  <c r="J56" i="2"/>
  <c r="I56" i="2"/>
  <c r="H56" i="2"/>
  <c r="G56" i="2"/>
  <c r="F56" i="2"/>
  <c r="E56" i="2"/>
  <c r="D56" i="2"/>
  <c r="C56" i="2"/>
  <c r="B56" i="2"/>
  <c r="A56" i="2"/>
  <c r="J55" i="2"/>
  <c r="I55" i="2"/>
  <c r="H55" i="2"/>
  <c r="G55" i="2"/>
  <c r="F55" i="2"/>
  <c r="E55" i="2"/>
  <c r="D55" i="2"/>
  <c r="C55" i="2"/>
  <c r="B55" i="2"/>
  <c r="A55" i="2"/>
  <c r="J54" i="2"/>
  <c r="I54" i="2"/>
  <c r="H54" i="2"/>
  <c r="G54" i="2"/>
  <c r="F54" i="2"/>
  <c r="E54" i="2"/>
  <c r="D54" i="2"/>
  <c r="C54" i="2"/>
  <c r="B54" i="2"/>
  <c r="A54" i="2"/>
  <c r="J53" i="2"/>
  <c r="I53" i="2"/>
  <c r="H53" i="2"/>
  <c r="G53" i="2"/>
  <c r="F53" i="2"/>
  <c r="E53" i="2"/>
  <c r="D53" i="2"/>
  <c r="C53" i="2"/>
  <c r="B53" i="2"/>
  <c r="A53" i="2"/>
  <c r="J52" i="2"/>
  <c r="I52" i="2"/>
  <c r="H52" i="2"/>
  <c r="G52" i="2"/>
  <c r="F52" i="2"/>
  <c r="E52" i="2"/>
  <c r="D52" i="2"/>
  <c r="C52" i="2"/>
  <c r="B52" i="2"/>
  <c r="A52" i="2"/>
  <c r="J51" i="2"/>
  <c r="I51" i="2"/>
  <c r="H51" i="2"/>
  <c r="G51" i="2"/>
  <c r="F51" i="2"/>
  <c r="E51" i="2"/>
  <c r="D51" i="2"/>
  <c r="C51" i="2"/>
  <c r="B51" i="2"/>
  <c r="A51" i="2"/>
  <c r="J50" i="2"/>
  <c r="I50" i="2"/>
  <c r="H50" i="2"/>
  <c r="G50" i="2"/>
  <c r="F50" i="2"/>
  <c r="E50" i="2"/>
  <c r="D50" i="2"/>
  <c r="C50" i="2"/>
  <c r="B50" i="2"/>
  <c r="A50" i="2"/>
  <c r="J49" i="2"/>
  <c r="I49" i="2"/>
  <c r="H49" i="2"/>
  <c r="G49" i="2"/>
  <c r="F49" i="2"/>
  <c r="E49" i="2"/>
  <c r="D49" i="2"/>
  <c r="C49" i="2"/>
  <c r="B49" i="2"/>
  <c r="A49" i="2"/>
  <c r="J48" i="2"/>
  <c r="I48" i="2"/>
  <c r="H48" i="2"/>
  <c r="G48" i="2"/>
  <c r="F48" i="2"/>
  <c r="E48" i="2"/>
  <c r="D48" i="2"/>
  <c r="C48" i="2"/>
  <c r="B48" i="2"/>
  <c r="A48" i="2"/>
  <c r="J47" i="2"/>
  <c r="I47" i="2"/>
  <c r="H47" i="2"/>
  <c r="G47" i="2"/>
  <c r="F47" i="2"/>
  <c r="E47" i="2"/>
  <c r="D47" i="2"/>
  <c r="C47" i="2"/>
  <c r="B47" i="2"/>
  <c r="A47" i="2"/>
  <c r="J46" i="2"/>
  <c r="I46" i="2"/>
  <c r="H46" i="2"/>
  <c r="G46" i="2"/>
  <c r="F46" i="2"/>
  <c r="E46" i="2"/>
  <c r="D46" i="2"/>
  <c r="C46" i="2"/>
  <c r="B46" i="2"/>
  <c r="A46" i="2"/>
  <c r="J45" i="2"/>
  <c r="I45" i="2"/>
  <c r="H45" i="2"/>
  <c r="G45" i="2"/>
  <c r="F45" i="2"/>
  <c r="E45" i="2"/>
  <c r="D45" i="2"/>
  <c r="C45" i="2"/>
  <c r="B45" i="2"/>
  <c r="A45" i="2"/>
  <c r="J44" i="2"/>
  <c r="I44" i="2"/>
  <c r="H44" i="2"/>
  <c r="G44" i="2"/>
  <c r="F44" i="2"/>
  <c r="E44" i="2"/>
  <c r="D44" i="2"/>
  <c r="C44" i="2"/>
  <c r="B44" i="2"/>
  <c r="A44" i="2"/>
  <c r="J43" i="2"/>
  <c r="I43" i="2"/>
  <c r="H43" i="2"/>
  <c r="G43" i="2"/>
  <c r="F43" i="2"/>
  <c r="E43" i="2"/>
  <c r="D43" i="2"/>
  <c r="C43" i="2"/>
  <c r="B43" i="2"/>
  <c r="A43" i="2"/>
  <c r="J42" i="2"/>
  <c r="I42" i="2"/>
  <c r="H42" i="2"/>
  <c r="G42" i="2"/>
  <c r="F42" i="2"/>
  <c r="E42" i="2"/>
  <c r="D42" i="2"/>
  <c r="C42" i="2"/>
  <c r="B42" i="2"/>
  <c r="A42" i="2"/>
  <c r="J41" i="2"/>
  <c r="I41" i="2"/>
  <c r="H41" i="2"/>
  <c r="G41" i="2"/>
  <c r="F41" i="2"/>
  <c r="E41" i="2"/>
  <c r="D41" i="2"/>
  <c r="C41" i="2"/>
  <c r="B41" i="2"/>
  <c r="A41" i="2"/>
  <c r="J40" i="2"/>
  <c r="I40" i="2"/>
  <c r="H40" i="2"/>
  <c r="G40" i="2"/>
  <c r="F40" i="2"/>
  <c r="E40" i="2"/>
  <c r="D40" i="2"/>
  <c r="C40" i="2"/>
  <c r="B40" i="2"/>
  <c r="A40" i="2"/>
  <c r="J39" i="2"/>
  <c r="I39" i="2"/>
  <c r="H39" i="2"/>
  <c r="G39" i="2"/>
  <c r="F39" i="2"/>
  <c r="E39" i="2"/>
  <c r="D39" i="2"/>
  <c r="C39" i="2"/>
  <c r="B39" i="2"/>
  <c r="A39" i="2"/>
  <c r="J38" i="2"/>
  <c r="I38" i="2"/>
  <c r="H38" i="2"/>
  <c r="G38" i="2"/>
  <c r="F38" i="2"/>
  <c r="E38" i="2"/>
  <c r="D38" i="2"/>
  <c r="C38" i="2"/>
  <c r="B38" i="2"/>
  <c r="A38" i="2"/>
  <c r="J37" i="2"/>
  <c r="I37" i="2"/>
  <c r="H37" i="2"/>
  <c r="G37" i="2"/>
  <c r="F37" i="2"/>
  <c r="E37" i="2"/>
  <c r="D37" i="2"/>
  <c r="C37" i="2"/>
  <c r="B37" i="2"/>
  <c r="A37" i="2"/>
  <c r="J36" i="2"/>
  <c r="I36" i="2"/>
  <c r="H36" i="2"/>
  <c r="G36" i="2"/>
  <c r="F36" i="2"/>
  <c r="E36" i="2"/>
  <c r="D36" i="2"/>
  <c r="C36" i="2"/>
  <c r="B36" i="2"/>
  <c r="A36" i="2"/>
  <c r="J35" i="2"/>
  <c r="I35" i="2"/>
  <c r="H35" i="2"/>
  <c r="G35" i="2"/>
  <c r="F35" i="2"/>
  <c r="E35" i="2"/>
  <c r="D35" i="2"/>
  <c r="C35" i="2"/>
  <c r="B35" i="2"/>
  <c r="A35" i="2"/>
  <c r="J34" i="2"/>
  <c r="I34" i="2"/>
  <c r="H34" i="2"/>
  <c r="G34" i="2"/>
  <c r="F34" i="2"/>
  <c r="E34" i="2"/>
  <c r="D34" i="2"/>
  <c r="C34" i="2"/>
  <c r="B34" i="2"/>
  <c r="A34" i="2"/>
  <c r="J33" i="2"/>
  <c r="I33" i="2"/>
  <c r="H33" i="2"/>
  <c r="G33" i="2"/>
  <c r="F33" i="2"/>
  <c r="E33" i="2"/>
  <c r="D33" i="2"/>
  <c r="C33" i="2"/>
  <c r="B33" i="2"/>
  <c r="A33" i="2"/>
  <c r="J32" i="2"/>
  <c r="I32" i="2"/>
  <c r="H32" i="2"/>
  <c r="G32" i="2"/>
  <c r="F32" i="2"/>
  <c r="E32" i="2"/>
  <c r="D32" i="2"/>
  <c r="C32" i="2"/>
  <c r="B32" i="2"/>
  <c r="A32" i="2"/>
  <c r="J31" i="2"/>
  <c r="I31" i="2"/>
  <c r="H31" i="2"/>
  <c r="G31" i="2"/>
  <c r="F31" i="2"/>
  <c r="E31" i="2"/>
  <c r="D31" i="2"/>
  <c r="C31" i="2"/>
  <c r="B31" i="2"/>
  <c r="A31" i="2"/>
  <c r="J30" i="2"/>
  <c r="I30" i="2"/>
  <c r="H30" i="2"/>
  <c r="G30" i="2"/>
  <c r="F30" i="2"/>
  <c r="E30" i="2"/>
  <c r="D30" i="2"/>
  <c r="C30" i="2"/>
  <c r="B30" i="2"/>
  <c r="A30" i="2"/>
  <c r="J29" i="2"/>
  <c r="I29" i="2"/>
  <c r="H29" i="2"/>
  <c r="G29" i="2"/>
  <c r="F29" i="2"/>
  <c r="E29" i="2"/>
  <c r="D29" i="2"/>
  <c r="C29" i="2"/>
  <c r="B29" i="2"/>
  <c r="A29" i="2"/>
  <c r="J28" i="2"/>
  <c r="I28" i="2"/>
  <c r="H28" i="2"/>
  <c r="G28" i="2"/>
  <c r="F28" i="2"/>
  <c r="E28" i="2"/>
  <c r="D28" i="2"/>
  <c r="C28" i="2"/>
  <c r="B28" i="2"/>
  <c r="A28" i="2"/>
  <c r="J27" i="2"/>
  <c r="I27" i="2"/>
  <c r="H27" i="2"/>
  <c r="G27" i="2"/>
  <c r="F27" i="2"/>
  <c r="E27" i="2"/>
  <c r="D27" i="2"/>
  <c r="C27" i="2"/>
  <c r="B27" i="2"/>
  <c r="A27" i="2"/>
  <c r="J26" i="2"/>
  <c r="I26" i="2"/>
  <c r="H26" i="2"/>
  <c r="G26" i="2"/>
  <c r="F26" i="2"/>
  <c r="E26" i="2"/>
  <c r="D26" i="2"/>
  <c r="C26" i="2"/>
  <c r="B26" i="2"/>
  <c r="A26" i="2"/>
  <c r="J25" i="2"/>
  <c r="I25" i="2"/>
  <c r="H25" i="2"/>
  <c r="G25" i="2"/>
  <c r="F25" i="2"/>
  <c r="E25" i="2"/>
  <c r="D25" i="2"/>
  <c r="C25" i="2"/>
  <c r="B25" i="2"/>
  <c r="A25" i="2"/>
  <c r="J24" i="2"/>
  <c r="I24" i="2"/>
  <c r="H24" i="2"/>
  <c r="G24" i="2"/>
  <c r="F24" i="2"/>
  <c r="E24" i="2"/>
  <c r="D24" i="2"/>
  <c r="C24" i="2"/>
  <c r="B24" i="2"/>
  <c r="A24" i="2"/>
  <c r="J23" i="2"/>
  <c r="I23" i="2"/>
  <c r="H23" i="2"/>
  <c r="G23" i="2"/>
  <c r="F23" i="2"/>
  <c r="E23" i="2"/>
  <c r="D23" i="2"/>
  <c r="C23" i="2"/>
  <c r="B23" i="2"/>
  <c r="A23" i="2"/>
  <c r="J22" i="2"/>
  <c r="I22" i="2"/>
  <c r="H22" i="2"/>
  <c r="G22" i="2"/>
  <c r="F22" i="2"/>
  <c r="E22" i="2"/>
  <c r="D22" i="2"/>
  <c r="C22" i="2"/>
  <c r="B22" i="2"/>
  <c r="A22" i="2"/>
  <c r="J21" i="2"/>
  <c r="I21" i="2"/>
  <c r="H21" i="2"/>
  <c r="G21" i="2"/>
  <c r="F21" i="2"/>
  <c r="E21" i="2"/>
  <c r="D21" i="2"/>
  <c r="C21" i="2"/>
  <c r="B21" i="2"/>
  <c r="A21" i="2"/>
  <c r="J20" i="2"/>
  <c r="I20" i="2"/>
  <c r="H20" i="2"/>
  <c r="G20" i="2"/>
  <c r="F20" i="2"/>
  <c r="E20" i="2"/>
  <c r="D20" i="2"/>
  <c r="C20" i="2"/>
  <c r="B20" i="2"/>
  <c r="A20" i="2"/>
  <c r="J19" i="2"/>
  <c r="I19" i="2"/>
  <c r="H19" i="2"/>
  <c r="G19" i="2"/>
  <c r="F19" i="2"/>
  <c r="E19" i="2"/>
  <c r="D19" i="2"/>
  <c r="C19" i="2"/>
  <c r="B19" i="2"/>
  <c r="A19" i="2"/>
  <c r="J18" i="2"/>
  <c r="I18" i="2"/>
  <c r="H18" i="2"/>
  <c r="G18" i="2"/>
  <c r="F18" i="2"/>
  <c r="E18" i="2"/>
  <c r="D18" i="2"/>
  <c r="C18" i="2"/>
  <c r="B18" i="2"/>
  <c r="A18" i="2"/>
  <c r="J17" i="2"/>
  <c r="I17" i="2"/>
  <c r="H17" i="2"/>
  <c r="G17" i="2"/>
  <c r="F17" i="2"/>
  <c r="E17" i="2"/>
  <c r="D17" i="2"/>
  <c r="C17" i="2"/>
  <c r="B17" i="2"/>
  <c r="A17" i="2"/>
  <c r="J16" i="2"/>
  <c r="I16" i="2"/>
  <c r="H16" i="2"/>
  <c r="G16" i="2"/>
  <c r="F16" i="2"/>
  <c r="E16" i="2"/>
  <c r="D16" i="2"/>
  <c r="C16" i="2"/>
  <c r="B16" i="2"/>
  <c r="A16" i="2"/>
  <c r="J15" i="2"/>
  <c r="I15" i="2"/>
  <c r="H15" i="2"/>
  <c r="G15" i="2"/>
  <c r="F15" i="2"/>
  <c r="E15" i="2"/>
  <c r="D15" i="2"/>
  <c r="C15" i="2"/>
  <c r="B15" i="2"/>
  <c r="A15" i="2"/>
  <c r="J14" i="2"/>
  <c r="I14" i="2"/>
  <c r="H14" i="2"/>
  <c r="G14" i="2"/>
  <c r="F14" i="2"/>
  <c r="E14" i="2"/>
  <c r="D14" i="2"/>
  <c r="C14" i="2"/>
  <c r="B14" i="2"/>
  <c r="A14" i="2"/>
  <c r="J13" i="2"/>
  <c r="I13" i="2"/>
  <c r="H13" i="2"/>
  <c r="G13" i="2"/>
  <c r="F13" i="2"/>
  <c r="E13" i="2"/>
  <c r="D13" i="2"/>
  <c r="C13" i="2"/>
  <c r="B13" i="2"/>
  <c r="A13" i="2"/>
  <c r="J12" i="2"/>
  <c r="I12" i="2"/>
  <c r="H12" i="2"/>
  <c r="G12" i="2"/>
  <c r="F12" i="2"/>
  <c r="E12" i="2"/>
  <c r="D12" i="2"/>
  <c r="C12" i="2"/>
  <c r="B12" i="2"/>
  <c r="A12" i="2"/>
  <c r="J11" i="2"/>
  <c r="I11" i="2"/>
  <c r="H11" i="2"/>
  <c r="G11" i="2"/>
  <c r="F11" i="2"/>
  <c r="E11" i="2"/>
  <c r="D11" i="2"/>
  <c r="C11" i="2"/>
  <c r="B11" i="2"/>
  <c r="A11" i="2"/>
  <c r="J10" i="2"/>
  <c r="I10" i="2"/>
  <c r="H10" i="2"/>
  <c r="G10" i="2"/>
  <c r="F10" i="2"/>
  <c r="E10" i="2"/>
  <c r="D10" i="2"/>
  <c r="C10" i="2"/>
  <c r="B10" i="2"/>
  <c r="A10" i="2"/>
  <c r="J9" i="2"/>
  <c r="I9" i="2"/>
  <c r="H9" i="2"/>
  <c r="G9" i="2"/>
  <c r="F9" i="2"/>
  <c r="E9" i="2"/>
  <c r="D9" i="2"/>
  <c r="C9" i="2"/>
  <c r="B9" i="2"/>
  <c r="A9" i="2"/>
  <c r="J8" i="2"/>
  <c r="I8" i="2"/>
  <c r="H8" i="2"/>
  <c r="G8" i="2"/>
  <c r="F8" i="2"/>
  <c r="E8" i="2"/>
  <c r="D8" i="2"/>
  <c r="C8" i="2"/>
  <c r="B8" i="2"/>
  <c r="A8" i="2"/>
  <c r="J7" i="2"/>
  <c r="I7" i="2"/>
  <c r="H7" i="2"/>
  <c r="G7" i="2"/>
  <c r="F7" i="2"/>
  <c r="E7" i="2"/>
  <c r="D7" i="2"/>
  <c r="C7" i="2"/>
  <c r="B7" i="2"/>
  <c r="A7" i="2"/>
  <c r="J6" i="2"/>
  <c r="I6" i="2"/>
  <c r="H6" i="2"/>
  <c r="G6" i="2"/>
  <c r="F6" i="2"/>
  <c r="E6" i="2"/>
  <c r="D6" i="2"/>
  <c r="C6" i="2"/>
  <c r="B6" i="2"/>
  <c r="A6" i="2"/>
  <c r="J5" i="2"/>
  <c r="I5" i="2"/>
  <c r="H5" i="2"/>
  <c r="G5" i="2"/>
  <c r="F5" i="2"/>
  <c r="E5" i="2"/>
  <c r="D5" i="2"/>
  <c r="C5" i="2"/>
  <c r="B5" i="2"/>
  <c r="A5" i="2"/>
  <c r="J4" i="2"/>
  <c r="I4" i="2"/>
  <c r="H4" i="2"/>
  <c r="G4" i="2"/>
  <c r="F4" i="2"/>
  <c r="E4" i="2"/>
  <c r="D4" i="2"/>
  <c r="C4" i="2"/>
  <c r="B4" i="2"/>
  <c r="A4" i="2"/>
  <c r="J3" i="2"/>
  <c r="I3" i="2"/>
  <c r="H3" i="2"/>
  <c r="G3" i="2"/>
  <c r="F3" i="2"/>
  <c r="E3" i="2"/>
  <c r="D3" i="2"/>
  <c r="C3" i="2"/>
  <c r="B3" i="2"/>
  <c r="A3" i="2"/>
  <c r="J2" i="2"/>
  <c r="I2" i="2"/>
  <c r="H2" i="2"/>
  <c r="G2" i="2"/>
  <c r="F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<sst xmlns="http://schemas.openxmlformats.org/spreadsheetml/2006/main" count="2980" uniqueCount="800">
  <si>
    <t>Vasantdada Patil Prathisthan's College of Engineering &amp; Visual Arts</t>
  </si>
  <si>
    <t>Training &amp; Placement Department</t>
  </si>
  <si>
    <t>C2C Registered Students List</t>
  </si>
  <si>
    <t>Timestamp</t>
  </si>
  <si>
    <t>C2C Mentor Allocation List</t>
  </si>
  <si>
    <t>Sr No.</t>
  </si>
  <si>
    <t>Id No.</t>
  </si>
  <si>
    <t>Email Address</t>
  </si>
  <si>
    <t>Full Name</t>
  </si>
  <si>
    <t>Contact Number</t>
  </si>
  <si>
    <t>Student ID Number</t>
  </si>
  <si>
    <t>Branch</t>
  </si>
  <si>
    <t>Email</t>
  </si>
  <si>
    <t xml:space="preserve">Full Name of Student (Starting with Surname) </t>
  </si>
  <si>
    <t>Mentor Name</t>
  </si>
  <si>
    <t>Year Of Study</t>
  </si>
  <si>
    <t>Training Opted ?</t>
  </si>
  <si>
    <t>VU2F2526077</t>
  </si>
  <si>
    <t xml:space="preserve">Payment QR Code </t>
  </si>
  <si>
    <t>PUPPALA SOHAM NARENDRA</t>
  </si>
  <si>
    <t>Share Payment Screenshot</t>
  </si>
  <si>
    <t>AI &amp; ML</t>
  </si>
  <si>
    <t>Amount Paid</t>
  </si>
  <si>
    <t>Event Poster</t>
  </si>
  <si>
    <t xml:space="preserve">VU2F2526011 </t>
  </si>
  <si>
    <t xml:space="preserve">Payment made to </t>
  </si>
  <si>
    <t>Ulde Tauheed Amjad</t>
  </si>
  <si>
    <t>Added to WhatsApp Group?</t>
  </si>
  <si>
    <t xml:space="preserve">VU2F2526002 </t>
  </si>
  <si>
    <t xml:space="preserve">Supadeep Kumar Sur </t>
  </si>
  <si>
    <t>Sanisa Limbare
(10 Students)
8097269272</t>
  </si>
  <si>
    <t>VU2F2526073</t>
  </si>
  <si>
    <t>Status</t>
  </si>
  <si>
    <t>Gaitonde Aarav Jitesh</t>
  </si>
  <si>
    <t>VU2F2526053</t>
  </si>
  <si>
    <t>Kadrekar Vedant Nilesh</t>
  </si>
  <si>
    <t xml:space="preserve">VU2F2526021 </t>
  </si>
  <si>
    <t>vu1f2526010@pvppcoe.ac.in</t>
  </si>
  <si>
    <t xml:space="preserve">Vibhute Siddhi Sachin </t>
  </si>
  <si>
    <t>VU2F2526005</t>
  </si>
  <si>
    <t xml:space="preserve">Maitreyee Prashant Tulaskar </t>
  </si>
  <si>
    <t xml:space="preserve">VU2F2526006 </t>
  </si>
  <si>
    <t xml:space="preserve">Sakunde Samiksha Santosh </t>
  </si>
  <si>
    <t>VU2F2526003</t>
  </si>
  <si>
    <t>WADEKAR SOHAM DINESH</t>
  </si>
  <si>
    <t xml:space="preserve">VU1F2526010 </t>
  </si>
  <si>
    <t xml:space="preserve">VU2F2526075 </t>
  </si>
  <si>
    <t xml:space="preserve">Vuradi Harshini Naresh </t>
  </si>
  <si>
    <t>VU2F2526129</t>
  </si>
  <si>
    <t>DESHMUKH VISHWESH BAJRANG</t>
  </si>
  <si>
    <t>VU2F2526001</t>
  </si>
  <si>
    <t>YADAV AKASH CHANDRAJEET</t>
  </si>
  <si>
    <t>VU2F2526035</t>
  </si>
  <si>
    <t>BHOSALE SARTHAK RAJESH</t>
  </si>
  <si>
    <t xml:space="preserve">VU2F2526131 </t>
  </si>
  <si>
    <t xml:space="preserve">MACHA SOHAN BHASKAR </t>
  </si>
  <si>
    <t>VU2F2526033</t>
  </si>
  <si>
    <t>Baviskar Aarush Mukund</t>
  </si>
  <si>
    <t xml:space="preserve">Patil Karan Sandesh </t>
  </si>
  <si>
    <t>VU2F2526143</t>
  </si>
  <si>
    <t xml:space="preserve">Tambe Darshan Gajendra </t>
  </si>
  <si>
    <t>Second Year (Graduation Year of Passing:- 2029)</t>
  </si>
  <si>
    <t>CS</t>
  </si>
  <si>
    <t>Complete C2C (Aptitude + Soft Skills + Technical) training - Rs 3500/-</t>
  </si>
  <si>
    <t>VU2F2526127</t>
  </si>
  <si>
    <t xml:space="preserve">Raut Kunal Sanjay </t>
  </si>
  <si>
    <t>https://drive.google.com/open?id=1AIVzemuGUNnX0w2-MclkGOZiHj5HB616</t>
  </si>
  <si>
    <t xml:space="preserve">VU2F2526093 </t>
  </si>
  <si>
    <t xml:space="preserve">SAMRUDDHI VINOD MAHADIK </t>
  </si>
  <si>
    <t>VU2F2526020</t>
  </si>
  <si>
    <t>GALA ANGAT HENNY</t>
  </si>
  <si>
    <t xml:space="preserve">VU2F2526135 </t>
  </si>
  <si>
    <t xml:space="preserve">Bhosale Durva Prasad </t>
  </si>
  <si>
    <t>VU2F2526076</t>
  </si>
  <si>
    <t>Chinthakindi Varshini Chandrashekar</t>
  </si>
  <si>
    <t>VU1F2526033</t>
  </si>
  <si>
    <t>Devghare Harsh Bharat</t>
  </si>
  <si>
    <t>VU1F2526019</t>
  </si>
  <si>
    <t xml:space="preserve">Ankita Padhy </t>
  </si>
  <si>
    <t>Sahil Ghadge
(11 Students)
7558507295</t>
  </si>
  <si>
    <t>VU1F2526040</t>
  </si>
  <si>
    <t>Pawar Arnav Jitendra</t>
  </si>
  <si>
    <t>VU1F2526141</t>
  </si>
  <si>
    <t>Ganesh sahu</t>
  </si>
  <si>
    <t xml:space="preserve">VU1F2526028 </t>
  </si>
  <si>
    <t xml:space="preserve">SONAWANE ASHWINI VIKRAM </t>
  </si>
  <si>
    <t>VU1F2526094</t>
  </si>
  <si>
    <t>Kurade Shreyash Arun</t>
  </si>
  <si>
    <t>VU1F2526011</t>
  </si>
  <si>
    <t>BHALERAO RONIK SANDEEP</t>
  </si>
  <si>
    <t>vu2f2526077@pvppcoe.ac.in</t>
  </si>
  <si>
    <t>VU1F2526129</t>
  </si>
  <si>
    <t xml:space="preserve">GAWDE OM PRASHANT </t>
  </si>
  <si>
    <t>VU1F2526086</t>
  </si>
  <si>
    <t>Ponna Vignesh Santosh</t>
  </si>
  <si>
    <t>VU1F2526035</t>
  </si>
  <si>
    <t>Shaikh Mohd Basit</t>
  </si>
  <si>
    <t xml:space="preserve">vu2f2526077@pvppcoe.ac.in </t>
  </si>
  <si>
    <t>Shanmukh</t>
  </si>
  <si>
    <t xml:space="preserve">VU1F2526023 </t>
  </si>
  <si>
    <t xml:space="preserve">SIDDIQUI FAUZAN MUJEEBUR REHMAN </t>
  </si>
  <si>
    <t>Yes</t>
  </si>
  <si>
    <t>VU1F2526106</t>
  </si>
  <si>
    <t>KOR PARTH DATTATRAY</t>
  </si>
  <si>
    <t>Done</t>
  </si>
  <si>
    <t>VU1F2526066</t>
  </si>
  <si>
    <t xml:space="preserve">BHOGATE BALKRISHNA SUNIL </t>
  </si>
  <si>
    <t>VU1F2526105</t>
  </si>
  <si>
    <t>Pawar Krishna Shahuraj</t>
  </si>
  <si>
    <t>Paid</t>
  </si>
  <si>
    <t xml:space="preserve">VU1F2526053 </t>
  </si>
  <si>
    <t xml:space="preserve">Shraddha Ajitkumar Mahadik </t>
  </si>
  <si>
    <t>https://drive.google.com/open?id=1LI5OwaswJqQWkdvYFYo9U-K_K9kW8Z7P</t>
  </si>
  <si>
    <t>VU1F2526036</t>
  </si>
  <si>
    <t>Pawar Harshad Kailas</t>
  </si>
  <si>
    <t>VU1F2526013</t>
  </si>
  <si>
    <t>Dhindale Pravin Vishnu</t>
  </si>
  <si>
    <t xml:space="preserve">VU1F2526073 </t>
  </si>
  <si>
    <t xml:space="preserve">GHARAT ANOKHI PRASHANT PRANITA </t>
  </si>
  <si>
    <t>VU1F2526029</t>
  </si>
  <si>
    <t xml:space="preserve">Devashree Sarvade </t>
  </si>
  <si>
    <t>VU1F2526008</t>
  </si>
  <si>
    <t>SHAIKH MOHAMMED AMAAN FAROOQ</t>
  </si>
  <si>
    <t xml:space="preserve">VU1F2526119 </t>
  </si>
  <si>
    <t xml:space="preserve">Ghadge Vinayak Yuvraj </t>
  </si>
  <si>
    <t>VU1F2526136</t>
  </si>
  <si>
    <t>Sawant Parth Balkrushna</t>
  </si>
  <si>
    <t>VU1F2526125</t>
  </si>
  <si>
    <t xml:space="preserve">Walnekar Atharva </t>
  </si>
  <si>
    <t>VU3F2526056</t>
  </si>
  <si>
    <t xml:space="preserve">Hotkar Chetan Mallikarjun </t>
  </si>
  <si>
    <t xml:space="preserve">Fascinating </t>
  </si>
  <si>
    <t>VU1F2526096</t>
  </si>
  <si>
    <t xml:space="preserve">Gupta Atith anirudh </t>
  </si>
  <si>
    <t>VU1F2526009</t>
  </si>
  <si>
    <t>MANDAOKAR ANGEL MANISH</t>
  </si>
  <si>
    <t>VU1F2526027</t>
  </si>
  <si>
    <t xml:space="preserve">Bhilare Prathamesh Ramesh </t>
  </si>
  <si>
    <t>vu1f2526033@pvppcoe.ac.in</t>
  </si>
  <si>
    <t>VU1F2526138</t>
  </si>
  <si>
    <t xml:space="preserve">Jadhav Meet Vijay </t>
  </si>
  <si>
    <t xml:space="preserve">VU1F2526104 </t>
  </si>
  <si>
    <t xml:space="preserve">Gaikwad Brahmesh Kiran </t>
  </si>
  <si>
    <t>VU1F2526100</t>
  </si>
  <si>
    <t>Dethe Sarthak Vishwas</t>
  </si>
  <si>
    <t>VU1F2526109</t>
  </si>
  <si>
    <t>Gandhi Reetvik Sameer</t>
  </si>
  <si>
    <t xml:space="preserve">Amey Nadkar
(11 Students) 
7715963636
</t>
  </si>
  <si>
    <t>VU1F2526147</t>
  </si>
  <si>
    <t xml:space="preserve">Padala Navya Srinivas </t>
  </si>
  <si>
    <t xml:space="preserve">VU1F2526078 </t>
  </si>
  <si>
    <t xml:space="preserve">PATIL PRANOTI PRAVIN </t>
  </si>
  <si>
    <t>VU1F2526153</t>
  </si>
  <si>
    <t xml:space="preserve">Yewale Vishwajeet Santosh </t>
  </si>
  <si>
    <t>VU1F2526111</t>
  </si>
  <si>
    <t>Tiwari Divyanshu</t>
  </si>
  <si>
    <t xml:space="preserve">VU1F2526137 </t>
  </si>
  <si>
    <t>Kavthe swastika aniruddha</t>
  </si>
  <si>
    <t>https://drive.google.com/open?id=1d8Q1K9QYDOWGLQOBwEj6uzFf_KKeSF0v</t>
  </si>
  <si>
    <t>VU1F2526144</t>
  </si>
  <si>
    <t>Gaikar Jay Mahesh</t>
  </si>
  <si>
    <t xml:space="preserve">VU1F2526143 </t>
  </si>
  <si>
    <t>MUNGURKAR SANVI SANTOSH</t>
  </si>
  <si>
    <t xml:space="preserve">VU1F2526145 </t>
  </si>
  <si>
    <t>Tamboli Varad Vinay</t>
  </si>
  <si>
    <t>VU1F2526089</t>
  </si>
  <si>
    <t>Singh Ayush Anil</t>
  </si>
  <si>
    <t xml:space="preserve">VU1F2526103 </t>
  </si>
  <si>
    <t xml:space="preserve">KONDUSKAR SOHAM SAMBHAJI </t>
  </si>
  <si>
    <t xml:space="preserve">VU1F2526052 </t>
  </si>
  <si>
    <t xml:space="preserve">Dhule Devang Ramesh </t>
  </si>
  <si>
    <t xml:space="preserve">VU1F2526116 </t>
  </si>
  <si>
    <t>Patil Ishita Rakesh</t>
  </si>
  <si>
    <t>VU1F2526042</t>
  </si>
  <si>
    <t xml:space="preserve">Jadhav Kunal Dattatray </t>
  </si>
  <si>
    <t>VU1F2526038</t>
  </si>
  <si>
    <t>Singh Manan Vinay</t>
  </si>
  <si>
    <t>vu4f2526017@pvppcoe.ac.in</t>
  </si>
  <si>
    <t xml:space="preserve">VU3F2526100 </t>
  </si>
  <si>
    <t xml:space="preserve">Salvi Shivam Dinesh </t>
  </si>
  <si>
    <t xml:space="preserve">VU4F2526017 </t>
  </si>
  <si>
    <t>VU1F2526074</t>
  </si>
  <si>
    <t>WANI YASH RAJENDRA</t>
  </si>
  <si>
    <t>VU1F2526077</t>
  </si>
  <si>
    <t>Ghangale Sarthak Balu</t>
  </si>
  <si>
    <t xml:space="preserve">Tatikonda Sathwik Devadas </t>
  </si>
  <si>
    <t xml:space="preserve">VU1F2526101 </t>
  </si>
  <si>
    <t>KHADE VEDANT RAMESH</t>
  </si>
  <si>
    <t xml:space="preserve">VU1F2526133 </t>
  </si>
  <si>
    <t xml:space="preserve">Rai Diksha Santosh </t>
  </si>
  <si>
    <t>VU1F2526075</t>
  </si>
  <si>
    <t xml:space="preserve">Gondhali Pranay Vasant </t>
  </si>
  <si>
    <t>IT</t>
  </si>
  <si>
    <t xml:space="preserve">VU1F2526131 </t>
  </si>
  <si>
    <t xml:space="preserve">CHAFE KSHITIJ RAJENDRA </t>
  </si>
  <si>
    <t>VU1F2526054</t>
  </si>
  <si>
    <t xml:space="preserve">SHINDE ATHARV JAYSING </t>
  </si>
  <si>
    <t>Payment done 3500 ruppess</t>
  </si>
  <si>
    <t>VU1F2526093</t>
  </si>
  <si>
    <t>CHOPADE VISHVAJEET SARDAR</t>
  </si>
  <si>
    <t>https://drive.google.com/open?id=17mC4JteHJej5ZOSWWl-hVeITQGkqOAxC</t>
  </si>
  <si>
    <t xml:space="preserve">VU1F2526124 </t>
  </si>
  <si>
    <t xml:space="preserve">Sawant Soham Sanjay </t>
  </si>
  <si>
    <t>Prashik Vyas
(11 Students)
8850100978</t>
  </si>
  <si>
    <t>VU1F2526016</t>
  </si>
  <si>
    <t xml:space="preserve">Parab Tirtha Ratnakar </t>
  </si>
  <si>
    <t>VU1F2526026</t>
  </si>
  <si>
    <t xml:space="preserve">Nailwal Prisha Bhuwan </t>
  </si>
  <si>
    <t>VU1F2526002</t>
  </si>
  <si>
    <t>MHASKAR SUVEDH SUNIL</t>
  </si>
  <si>
    <t>VU1F2526046</t>
  </si>
  <si>
    <t>PATIL RAJ CHETAN</t>
  </si>
  <si>
    <t xml:space="preserve">VU1F2526047 </t>
  </si>
  <si>
    <t xml:space="preserve">MADHAVI SOHAM MAHENDRA </t>
  </si>
  <si>
    <t>+91 8928618101</t>
  </si>
  <si>
    <t>VU1F2526021</t>
  </si>
  <si>
    <t xml:space="preserve">Shaikh Mohammad Ubaid Mohammed Ismail </t>
  </si>
  <si>
    <t>VU1F2526044</t>
  </si>
  <si>
    <t xml:space="preserve">Dicholkar Atharva Pandurang </t>
  </si>
  <si>
    <t xml:space="preserve">VU1F2526122 </t>
  </si>
  <si>
    <t xml:space="preserve">Mishra Kunal Sushil Kumar </t>
  </si>
  <si>
    <t>VU1F2526020</t>
  </si>
  <si>
    <t>Dhanak Vikas Bhambu</t>
  </si>
  <si>
    <t>vu1f2526019@pvppcoe.ac.in</t>
  </si>
  <si>
    <t xml:space="preserve">VU1F2526015 </t>
  </si>
  <si>
    <t xml:space="preserve">Sawant Asmi Sudhanshu </t>
  </si>
  <si>
    <t>VU1F2526123</t>
  </si>
  <si>
    <t xml:space="preserve">Salunke Amol Sarvambh </t>
  </si>
  <si>
    <t xml:space="preserve">VU1F2526049 </t>
  </si>
  <si>
    <t xml:space="preserve">Mishra govind Kumar </t>
  </si>
  <si>
    <t>VU1F2526051</t>
  </si>
  <si>
    <t>Ubhare Harshit Sunil</t>
  </si>
  <si>
    <t>VU1F2526022</t>
  </si>
  <si>
    <t>Siddiqui Abdul Rahim</t>
  </si>
  <si>
    <t>VU1F2526146</t>
  </si>
  <si>
    <t>Bhosale Gaurav Santosh</t>
  </si>
  <si>
    <t>VU1F2526110</t>
  </si>
  <si>
    <t>Gupta Rishika</t>
  </si>
  <si>
    <t>VU3S1T2526031</t>
  </si>
  <si>
    <t xml:space="preserve">SHELAR ANUSHKA PRAVIN </t>
  </si>
  <si>
    <t>Complete C2C:- ₹3500</t>
  </si>
  <si>
    <t>https://drive.google.com/open?id=1HRg3e0FrX6FRYJR6wcCVfehWZLjESg3g</t>
  </si>
  <si>
    <t>VU3S1T2526059</t>
  </si>
  <si>
    <t xml:space="preserve">Shaikh Rufiya Ameer </t>
  </si>
  <si>
    <t xml:space="preserve">VU3F2526049 </t>
  </si>
  <si>
    <t xml:space="preserve">Patil Sameeksha Shailesh </t>
  </si>
  <si>
    <t>ECS</t>
  </si>
  <si>
    <t>VU3F2526113</t>
  </si>
  <si>
    <t>KARVE HRUSHIKESH PRASAD</t>
  </si>
  <si>
    <t xml:space="preserve">VU3F2526080 </t>
  </si>
  <si>
    <t xml:space="preserve">Mhatre Tanmay Santosh </t>
  </si>
  <si>
    <t>VU3F2526042</t>
  </si>
  <si>
    <t xml:space="preserve">SAW PRINCE ARVIND </t>
  </si>
  <si>
    <t>VU3F2526044</t>
  </si>
  <si>
    <t xml:space="preserve">LONDHE SAMIKSHA MAHADEV </t>
  </si>
  <si>
    <t xml:space="preserve">VU3F2526028 </t>
  </si>
  <si>
    <t>JAGTAP PARTH UDAY</t>
  </si>
  <si>
    <t>VU3F2526078</t>
  </si>
  <si>
    <t xml:space="preserve">Rajat Vijay Govekar </t>
  </si>
  <si>
    <t xml:space="preserve"> 97023 11756</t>
  </si>
  <si>
    <t>Pradnya Nar
(11 Students)
7977614356</t>
  </si>
  <si>
    <t>VU3F2526045</t>
  </si>
  <si>
    <t>JINDAM SHRIYANS BALKRISHNA</t>
  </si>
  <si>
    <t>VU3F2526004</t>
  </si>
  <si>
    <t>Mishra karan Amritlesh</t>
  </si>
  <si>
    <t>VU3F2526027</t>
  </si>
  <si>
    <t xml:space="preserve">SHARMA UJJAWAL ABHISHEK </t>
  </si>
  <si>
    <t>VU3F2526018</t>
  </si>
  <si>
    <t xml:space="preserve">Ghadigaonkar Amogh Santosh </t>
  </si>
  <si>
    <t>vu1f2526040@pvppcoe.ac.in</t>
  </si>
  <si>
    <t>VU3F2526003</t>
  </si>
  <si>
    <t xml:space="preserve">Burungale Raj Shivaji </t>
  </si>
  <si>
    <t>VU3F2526020</t>
  </si>
  <si>
    <t>Viraj Munde</t>
  </si>
  <si>
    <t xml:space="preserve">VU3F2526106 </t>
  </si>
  <si>
    <t xml:space="preserve">Shubham Sunil Gaonkar </t>
  </si>
  <si>
    <t xml:space="preserve">VU3F2526002 </t>
  </si>
  <si>
    <t xml:space="preserve">Yadav Amit Prem Kumar </t>
  </si>
  <si>
    <t>VU3F2526005</t>
  </si>
  <si>
    <t xml:space="preserve">Khochare Sai Pramod </t>
  </si>
  <si>
    <t>VU3F2526077</t>
  </si>
  <si>
    <t xml:space="preserve">Sahu sruti bhullu </t>
  </si>
  <si>
    <t xml:space="preserve">VU3F2526011 </t>
  </si>
  <si>
    <t xml:space="preserve">Shinde Swaraj Vinod </t>
  </si>
  <si>
    <t>VU3F2526085</t>
  </si>
  <si>
    <t>PAWAR TANVI NAMDEV</t>
  </si>
  <si>
    <t>VU3F2526086</t>
  </si>
  <si>
    <t>Aaryan Surendra Nikalje</t>
  </si>
  <si>
    <t>.....</t>
  </si>
  <si>
    <t>VU3F2526063</t>
  </si>
  <si>
    <t>Sawant Aditya Vinod</t>
  </si>
  <si>
    <t>https://drive.google.com/open?id=1nC8fLMNwpTLCWF28rJYUN75D15P6SxFI</t>
  </si>
  <si>
    <t>VU3F2526064</t>
  </si>
  <si>
    <t>Raut Ashmi Amir</t>
  </si>
  <si>
    <t>VU3F2526128</t>
  </si>
  <si>
    <t>Lad Swarnita Sudhir</t>
  </si>
  <si>
    <t>VU3F2526062</t>
  </si>
  <si>
    <t>Divekar Arya Sanjay</t>
  </si>
  <si>
    <t>VU3F2526032</t>
  </si>
  <si>
    <t>Adelkar Nishant Sunil</t>
  </si>
  <si>
    <t xml:space="preserve">VU3F2526083 </t>
  </si>
  <si>
    <t>SAWANT NINAD SANDEEP</t>
  </si>
  <si>
    <t xml:space="preserve">VU3F2526084 </t>
  </si>
  <si>
    <t xml:space="preserve">Sunny kumar mehta </t>
  </si>
  <si>
    <t>VU3F2526122</t>
  </si>
  <si>
    <t>Gaikwad Shreya Santosh</t>
  </si>
  <si>
    <t>...</t>
  </si>
  <si>
    <t>VU3F2526009</t>
  </si>
  <si>
    <t xml:space="preserve">Lahukare kartik atmaram </t>
  </si>
  <si>
    <t>VU3S2627011</t>
  </si>
  <si>
    <t>Divekar Rutvij Manoj</t>
  </si>
  <si>
    <t xml:space="preserve">96532 51500 </t>
  </si>
  <si>
    <t>VU3S2627006</t>
  </si>
  <si>
    <t>Mhatre Aseem Prashant</t>
  </si>
  <si>
    <t xml:space="preserve">VU3F2526071 </t>
  </si>
  <si>
    <t xml:space="preserve">GAIKWAD APURVA CHANDRAKANT </t>
  </si>
  <si>
    <t>vu1f2526141@pvppcoe.ac.in</t>
  </si>
  <si>
    <t>VU3F2526124</t>
  </si>
  <si>
    <t>Kadam Anchit Vishwanath</t>
  </si>
  <si>
    <t>VU3F2526022</t>
  </si>
  <si>
    <t>Dudhe Ruchi Suwas</t>
  </si>
  <si>
    <t xml:space="preserve">VU3F2526126 </t>
  </si>
  <si>
    <t xml:space="preserve">Vedant Milindra Raut </t>
  </si>
  <si>
    <t>VU3F2526091</t>
  </si>
  <si>
    <t>Salunkhe Sidhesh</t>
  </si>
  <si>
    <t>Aditee Talekar
(11 Students)
9819890553/8369009515</t>
  </si>
  <si>
    <t xml:space="preserve">VU3F2526050 </t>
  </si>
  <si>
    <t>Firfire Sadaf Khalid</t>
  </si>
  <si>
    <t>VU3S2627005</t>
  </si>
  <si>
    <t xml:space="preserve">Kaustubh Sanjay Hire </t>
  </si>
  <si>
    <t>VU3F2526104</t>
  </si>
  <si>
    <t>Lad Saish Sunil</t>
  </si>
  <si>
    <t xml:space="preserve">VU3F2526033 </t>
  </si>
  <si>
    <t xml:space="preserve">MOHITE ARYAN RAJENDRA </t>
  </si>
  <si>
    <t>3500/- paid</t>
  </si>
  <si>
    <t>https://drive.google.com/open?id=1PlCe09HLGv1fNJ6j5xSx1Ee5Oh-Vcsa5</t>
  </si>
  <si>
    <t xml:space="preserve">VU4F2526113 </t>
  </si>
  <si>
    <t xml:space="preserve">SHIKARI MURTAZA MOHAMMAD </t>
  </si>
  <si>
    <t>VU4F2526024</t>
  </si>
  <si>
    <t xml:space="preserve">Rishabh Rajesh Kadam </t>
  </si>
  <si>
    <t xml:space="preserve">VU4F2526060 </t>
  </si>
  <si>
    <t>PHULPAGAR AVISHKAR RAJENDRA</t>
  </si>
  <si>
    <t>VU4F2526059</t>
  </si>
  <si>
    <t>MORE SHUBHAM SUNIL</t>
  </si>
  <si>
    <t xml:space="preserve">VU4F2526029 </t>
  </si>
  <si>
    <t>More Harsh Sunil</t>
  </si>
  <si>
    <t>VU4F2526079</t>
  </si>
  <si>
    <t>SHELAR PARAS SANJAY</t>
  </si>
  <si>
    <t>VU4F2526110</t>
  </si>
  <si>
    <t xml:space="preserve">Sarfare Atharva </t>
  </si>
  <si>
    <t>VU4F2526092</t>
  </si>
  <si>
    <t>Rakte Kartik Ravindra</t>
  </si>
  <si>
    <t xml:space="preserve">VU4F2526091 </t>
  </si>
  <si>
    <t xml:space="preserve">Ravriya Shiv </t>
  </si>
  <si>
    <t>VU4F2526070</t>
  </si>
  <si>
    <t>Giri Yash Raju</t>
  </si>
  <si>
    <t>VU4F2526076</t>
  </si>
  <si>
    <t>Patil Nidhi Deepak</t>
  </si>
  <si>
    <t>vu1f2526028@pvppcoe.ac.in</t>
  </si>
  <si>
    <t>VU4F2526001</t>
  </si>
  <si>
    <t>Thakur Shivam Omprakash</t>
  </si>
  <si>
    <t xml:space="preserve">VU4F2526109 </t>
  </si>
  <si>
    <t xml:space="preserve">Mane Omkar Dhananjay </t>
  </si>
  <si>
    <t>VU4F2526072</t>
  </si>
  <si>
    <t xml:space="preserve">ATPADKAR PRATIK MARUTI </t>
  </si>
  <si>
    <t xml:space="preserve">VU4F2526015 </t>
  </si>
  <si>
    <t>Dhivar Bhushan Sanjay</t>
  </si>
  <si>
    <t xml:space="preserve">Complete C2C </t>
  </si>
  <si>
    <t>https://drive.google.com/open?id=1IbKuXxSVeCeyYStGG9XyXm2V3CcF2909</t>
  </si>
  <si>
    <t xml:space="preserve">VU4F2526127 </t>
  </si>
  <si>
    <t xml:space="preserve">Agarwal Mahak </t>
  </si>
  <si>
    <t>Dheeraj Sarfare
(10 Students)
8692042774</t>
  </si>
  <si>
    <t>VU3S4T256048</t>
  </si>
  <si>
    <t>MISHRA VIGHNESH JAYPRAKASH</t>
  </si>
  <si>
    <t>VU4F2526050</t>
  </si>
  <si>
    <t xml:space="preserve">Howal Aditya Vijay </t>
  </si>
  <si>
    <t>vu1f2526094@pvppcoe.ac.in</t>
  </si>
  <si>
    <t xml:space="preserve">VU4F2526117 </t>
  </si>
  <si>
    <t xml:space="preserve">Rasal Gauri Pramod </t>
  </si>
  <si>
    <t xml:space="preserve">VU7F2526003 </t>
  </si>
  <si>
    <t>Gupta Rudra Rajesh</t>
  </si>
  <si>
    <t>Mechatronics</t>
  </si>
  <si>
    <t>Transaction I'd - 235659941788</t>
  </si>
  <si>
    <t>VU7F2526001</t>
  </si>
  <si>
    <t xml:space="preserve">Quadros Reuben Ronnie </t>
  </si>
  <si>
    <t>https://drive.google.com/open?id=1Nl1tmnCwCpr3tISkM9u2eEPyjT6yrh_f</t>
  </si>
  <si>
    <t>VU7F2526019</t>
  </si>
  <si>
    <t>Amin Harshit Rajesh</t>
  </si>
  <si>
    <t>VU7F2526053</t>
  </si>
  <si>
    <t xml:space="preserve">Rabhadiya Neyasa Haresh </t>
  </si>
  <si>
    <t xml:space="preserve">VU7F2526038 </t>
  </si>
  <si>
    <t xml:space="preserve">Nagula Avaneesh Arvindkumar </t>
  </si>
  <si>
    <t>VU7F2526011</t>
  </si>
  <si>
    <t xml:space="preserve">MAGARE YASH TULSHIRAM </t>
  </si>
  <si>
    <t>vu1f2526011@pvppcoe.ac.in</t>
  </si>
  <si>
    <t xml:space="preserve">VU7F2526037 </t>
  </si>
  <si>
    <t xml:space="preserve">Addagatla omkar shreenivas </t>
  </si>
  <si>
    <t>https://drive.google.com/open?id=1U922O7rrrk8lE44J8PU1eTbFnCBQ_WSu</t>
  </si>
  <si>
    <t>Tarun Ganji
(10 Students)
8356079123</t>
  </si>
  <si>
    <t>vu7f2526003@pvppcoe.ac.in</t>
  </si>
  <si>
    <t>https://drive.google.com/open?id=1sJZdjStFyr0MevmUYhf3RgNl6DUKppPV</t>
  </si>
  <si>
    <t xml:space="preserve">Harshad Nandurkar
(10 Students)
7710907045
</t>
  </si>
  <si>
    <t>vu1f2526129@pvppcoe.ac.in</t>
  </si>
  <si>
    <t>https://drive.google.com/open?id=1BGLscvtpWVGC9Q_j_Dg9kRaFflSAG0Pz</t>
  </si>
  <si>
    <t>vu1f2526086@pvppcoe.ac.in</t>
  </si>
  <si>
    <t xml:space="preserve"> </t>
  </si>
  <si>
    <t>Aryan Gujar
(10 Students)
7039739940</t>
  </si>
  <si>
    <t>https://drive.google.com/open?id=1UhpB2wVSHDdsltoyZFDECIki4EyNLu4f</t>
  </si>
  <si>
    <t>vu3f2526049@pvppcoe.ac.in</t>
  </si>
  <si>
    <t>paid</t>
  </si>
  <si>
    <t>https://drive.google.com/open?id=1rU7cHcDlCR0DVUtLnYwoLwLd_eW__Snx</t>
  </si>
  <si>
    <t>Nivita Jadhav
(10 Students)
7021591898</t>
  </si>
  <si>
    <t>vu1f2526035@pvppcoe.ac.in</t>
  </si>
  <si>
    <t>done</t>
  </si>
  <si>
    <t>https://drive.google.com/open?id=1b5ljHMzjMwS3nZ5TgNfvXnKVaP6dLEyk</t>
  </si>
  <si>
    <t>vu1f2526023@pvppcoe.ac.in</t>
  </si>
  <si>
    <t>Vu1f2526023@pvppcoe.ac.in</t>
  </si>
  <si>
    <t>Saish Gosavi
(10 Students)
9137455278</t>
  </si>
  <si>
    <t>https://drive.google.com/open?id=1uLaQKtvROQ7x3fkmx7x5ruJjMZSZoOzl</t>
  </si>
  <si>
    <t>vu1f2526106@pvppcoe.ac.in</t>
  </si>
  <si>
    <t>Transaction ID: 622547430902</t>
  </si>
  <si>
    <t>https://drive.google.com/open?id=1qq8OhzbCvCcsfG4au9_iYcSy_UQBfeXa</t>
  </si>
  <si>
    <t>Ganesh Shinde
(10 Students)
8422920060</t>
  </si>
  <si>
    <t>vu2f2526011@pvppcoe.ac.in</t>
  </si>
  <si>
    <t>https://drive.google.com/open?id=1ntNdkF2fovJ_jHEnmbgurSEuqAvMh3Pm</t>
  </si>
  <si>
    <t>vu3f2526113@pvppcoe.ac.in</t>
  </si>
  <si>
    <t>PAYMENT DONE</t>
  </si>
  <si>
    <t>https://drive.google.com/open?id=1BN9BqwC2Fx2yUAd8hyR5glTrb7AKq9OT</t>
  </si>
  <si>
    <t>Pakshal Jain
(10 Students)
8779351143</t>
  </si>
  <si>
    <t>Vedant</t>
  </si>
  <si>
    <t>vu3f2526080@pvppcoe.ac.in</t>
  </si>
  <si>
    <t>vu3f2526100@pvppcoe.ac.in</t>
  </si>
  <si>
    <t>Paid 3500₹</t>
  </si>
  <si>
    <t>https://drive.google.com/open?id=1iVYejZygWqL5K3_EVDrSO9d-X97FJoD5</t>
  </si>
  <si>
    <t>Krutika Kariya
(10 Students)
9987908842</t>
  </si>
  <si>
    <t>vu1f2526066@pvppcoe.ac.in</t>
  </si>
  <si>
    <t>sohamtays13@gmail.com</t>
  </si>
  <si>
    <t>https://drive.google.com/open?id=1Gyd0FkkDMdghnB04mWafNjgGl8uxb4tW</t>
  </si>
  <si>
    <t>vu3f2526042@pvppcoe.ac.in</t>
  </si>
  <si>
    <t>Saish Gosavi
(7 Students)
9137455278</t>
  </si>
  <si>
    <t>Payment done</t>
  </si>
  <si>
    <t>https://drive.google.com/open?id=1Cc3HD8aYHP5PFCBUjji35LEbR1_Omkzo</t>
  </si>
  <si>
    <t>vu1f2526105@pvppcoe.ac.in</t>
  </si>
  <si>
    <t>Done ₹3500</t>
  </si>
  <si>
    <t>https://drive.google.com/open?id=1sm7ry2d6QGmhIGMA4Riij8Lx42boLNnr</t>
  </si>
  <si>
    <t>vu1f2526053@pvppcoe.ac.in</t>
  </si>
  <si>
    <t>https://drive.google.com/open?id=1DXxK7otp-tFswoCMk9ga7g374BgjSnlT</t>
  </si>
  <si>
    <t>vu2f2526002@pvppcoe.ac.in</t>
  </si>
  <si>
    <t>Vu2f2526002@pvppcoe.ac.in</t>
  </si>
  <si>
    <t xml:space="preserve">Done </t>
  </si>
  <si>
    <t>https://drive.google.com/open?id=1jxSDmQgZTYwYb5ugBgh-cYfpTeGXzoa_</t>
  </si>
  <si>
    <t>vu1f2526036@pvppcoe.ac.in</t>
  </si>
  <si>
    <t>Payment Done ✅</t>
  </si>
  <si>
    <t>https://drive.google.com/open?id=1aYnIYWYSEs730Q2WVdzbCeOUELBwznve</t>
  </si>
  <si>
    <t>vu1f2526013@pvppcoe.ac.in</t>
  </si>
  <si>
    <t>https://drive.google.com/open?id=1lZ8R3sKXe5XClB1j5BIKx4PSveS4iY94</t>
  </si>
  <si>
    <t>vu4f2526113@pvppcoe.ac.in</t>
  </si>
  <si>
    <t>Vu4f2526113@pvppcoe.ac.in</t>
  </si>
  <si>
    <t>https://drive.google.com/open?id=1r1WGJDeiGs0Au86L4TqpLQdlPjm2PlhS</t>
  </si>
  <si>
    <t>vu1f2526073@pvppcoe.ac.in</t>
  </si>
  <si>
    <t>VU1F2526073@PVPPCOE.AC.IN</t>
  </si>
  <si>
    <t xml:space="preserve">Paid </t>
  </si>
  <si>
    <t>https://drive.google.com/open?id=13TgqsONgirCRCJ4kS5rG29-60bj9tqhm</t>
  </si>
  <si>
    <t>vu1f2526029@pvppcoe.ac.in</t>
  </si>
  <si>
    <t>https://drive.google.com/open?id=17llLcndaE4vzOZYIrd0QEhmMNumu3zRy</t>
  </si>
  <si>
    <t>vu1f2526008@pvppcoe.ac.in</t>
  </si>
  <si>
    <t>.</t>
  </si>
  <si>
    <t>https://drive.google.com/open?id=1cxDZiUDOuk2LQ5sfxtsf8nMYRq8xImBd</t>
  </si>
  <si>
    <t>vu3f2526044@pvppcoe.ac.in</t>
  </si>
  <si>
    <t xml:space="preserve">Payment done </t>
  </si>
  <si>
    <t>https://drive.google.com/open?id=1TL8kIRI-jjZwU2yzm-9lnsLywvPK2AeW</t>
  </si>
  <si>
    <t>vu3f2526028@pvppcoe.ac.in</t>
  </si>
  <si>
    <t>VU3F2526028@pvppcoe.ac.in</t>
  </si>
  <si>
    <t xml:space="preserve">Completed </t>
  </si>
  <si>
    <t>https://drive.google.com/open?id=1srRlYAT9y7NBBA6cyPXeqA296CqnEUo5</t>
  </si>
  <si>
    <t>vu1f2526119@pvppcoe.ac.in</t>
  </si>
  <si>
    <t>vu1f2526074@pvppcoe.ac.in</t>
  </si>
  <si>
    <t>https://drive.google.com/open?id=1Wrbs6tZk5dcbvP607WIJtE8_0FTw2m2l</t>
  </si>
  <si>
    <t>vu3f2526078@pvppcoe.ac.in</t>
  </si>
  <si>
    <t>https://drive.google.com/open?id=1t9jfpmdNgdQ1Hr5Lhj-1JILHkK8gly94</t>
  </si>
  <si>
    <t>vu1f2526136@pvppcoe.ac.in</t>
  </si>
  <si>
    <t>https://drive.google.com/open?id=18G7jiEi4fs4Fva43E03f1NPLNQp2frY5</t>
  </si>
  <si>
    <t>vu3f2526045@pvppcoe.ac.in</t>
  </si>
  <si>
    <t>https://drive.google.com/open?id=1EWD8MmRKgmNou61m8u_ncUbjfSDv7HfM</t>
  </si>
  <si>
    <t>vu3f2526004@pvppcoe.ac.in</t>
  </si>
  <si>
    <t>3500 done</t>
  </si>
  <si>
    <t>https://drive.google.com/open?id=1hgSOZGxTpBoCutPIqkWcz3JB-Bs13pDC</t>
  </si>
  <si>
    <t>vu1f2526125@pvppcoe.ac.in</t>
  </si>
  <si>
    <t>https://drive.google.com/open?id=1oTzl6ykcTzlUGL1bhyDlEJotZ9CLVbTU</t>
  </si>
  <si>
    <t>vu3f2526027@pvppcoe.ac.in</t>
  </si>
  <si>
    <t>https://drive.google.com/open?id=1YFHh-vmRn_dwWRb_xI1K5mTBYB7CzldW</t>
  </si>
  <si>
    <t>vu4f2526024@pvppcoe.ac.in</t>
  </si>
  <si>
    <t>The QR had a limit so I did the payment directly to the number</t>
  </si>
  <si>
    <t>https://drive.google.com/open?id=1yAFnaky1tjehKj71iyOpnqGZoT5sLupC</t>
  </si>
  <si>
    <t>vu2f2526073@pvppcoe.ac.in</t>
  </si>
  <si>
    <t xml:space="preserve">3500 paid </t>
  </si>
  <si>
    <t>https://drive.google.com/open?id=1saQp3JyvxC1Q7rlXsfCE7tHD0PzgTZxb</t>
  </si>
  <si>
    <t>vu3f2526056@pvppcoe.ac.in</t>
  </si>
  <si>
    <t>https://drive.google.com/open?id=1KQyoZN9WmqLB9bQULAD977hce13VMGmi</t>
  </si>
  <si>
    <t>vu1f2526096@pvppcoe.ac.in</t>
  </si>
  <si>
    <t>atith2007@gmail.com</t>
  </si>
  <si>
    <t>https://drive.google.com/open?id=1P1rg6dBtOrhjmuc4eKqpkXZazyNwj9iv</t>
  </si>
  <si>
    <t>vu2f2526053@pvppcoe.ac.in</t>
  </si>
  <si>
    <t>Payment done 3500/-</t>
  </si>
  <si>
    <t>https://drive.google.com/open?id=168hu_5Mu-Ge134Gpn-sZTAJqFKPaL0Vl</t>
  </si>
  <si>
    <t>vu3f2526018@pvppcoe.ac.in</t>
  </si>
  <si>
    <t>Payed ₹3500</t>
  </si>
  <si>
    <t>https://drive.google.com/open?id=1IPP0Irvza3IZBIKDL8hTLppj_XX-eFaf</t>
  </si>
  <si>
    <t>vu1f2526009@pvppcoe.ac.in</t>
  </si>
  <si>
    <t>https://drive.google.com/open?id=1mZJmge5hiILZbIZtpxkou9xgepHB8hRc</t>
  </si>
  <si>
    <t>vu1f2526027@pvppcoe.ac.in</t>
  </si>
  <si>
    <t>https://drive.google.com/open?id=1AfSfaPNFC5UnMJuz1rgd_kHlFnbes1TL</t>
  </si>
  <si>
    <t>vu3f2526003@pvppcoe.ac.in</t>
  </si>
  <si>
    <t>Payment done 3500 Raj Burungale ECS A 003</t>
  </si>
  <si>
    <t>https://drive.google.com/open?id=14XVrQa1b5ulL-1GJWYACgzMLINOpgaTZ</t>
  </si>
  <si>
    <t>vu1f2526138@pvppcoe.ac.in</t>
  </si>
  <si>
    <t>https://drive.google.com/open?id=1OmcTq8nkpH6hd__M1k9UEblw50gGBZOO</t>
  </si>
  <si>
    <t>vu1f2526104@pvppcoe.ac.in</t>
  </si>
  <si>
    <t>Vu1f2526104@pvppcoe.ac.in</t>
  </si>
  <si>
    <t>https://drive.google.com/open?id=1dtnlKl-qaqgClJzXzDAASiKfrFEgNUCu</t>
  </si>
  <si>
    <t>vu2f2526021@pvppcoe.ac.in</t>
  </si>
  <si>
    <t>https://drive.google.com/open?id=1MGB5ZNxzAPATFLQ5zRI3S5XnAkisWAsi</t>
  </si>
  <si>
    <t>vu4f2526060@pvppcoe.ac.in</t>
  </si>
  <si>
    <t>VU4F2526060@pvppcoe.ac.in</t>
  </si>
  <si>
    <t>https://drive.google.com/open?id=1yKj6L69oJyY0_kAD5cILzEYenPKsQY0z</t>
  </si>
  <si>
    <t>vu4f2526059@pvppcoe.ac.in</t>
  </si>
  <si>
    <t>DONE</t>
  </si>
  <si>
    <t>https://drive.google.com/open?id=1LG3deDfN-Mz2ITCZ1QEm1g7KRKQT922r</t>
  </si>
  <si>
    <t>vu1f2526100@pvppcoe.ac.in</t>
  </si>
  <si>
    <t>https://drive.google.com/open?id=1JVwgQzEi1KMDwkJBSkEhVg0cvbpoh2aA</t>
  </si>
  <si>
    <t>vu3f2526020@pvppcoe.ac.in</t>
  </si>
  <si>
    <t>https://drive.google.com/open?id=1nLTGQGPIcNSBnTeqpaFCjKpRlnmvfJ9_</t>
  </si>
  <si>
    <t>vu2f2526005@pvppcoe.ac.in</t>
  </si>
  <si>
    <t>VU2F2526005@pvppcoe.ac.in</t>
  </si>
  <si>
    <t>https://drive.google.com/open?id=1fDPNf5tqC_ulqcL_OiuNpevLu7t8x4Ib</t>
  </si>
  <si>
    <t>vu2f2526006@pvppcoe.ac.in</t>
  </si>
  <si>
    <t>https://drive.google.com/open?id=1tGAhlndcRuXuXv3vVmd8Bamj57TzPkWZ</t>
  </si>
  <si>
    <t>vu1f2526109@pvppcoe.ac.in</t>
  </si>
  <si>
    <t>VU1F2526109@pvppcoe.ac.in</t>
  </si>
  <si>
    <t>https://drive.google.com/open?id=1pYILoUv4KEHB5q_expalO9of5toUX8Ih</t>
  </si>
  <si>
    <t>vu4f2526029@pvppcoe.ac.in</t>
  </si>
  <si>
    <t>https://drive.google.com/open?id=1Iajo4XMvzOP05zdjn0pJpYP6NpR0Ns6I</t>
  </si>
  <si>
    <t>vu1f2526147@pvppcoe.ac.in</t>
  </si>
  <si>
    <t>https://drive.google.com/open?id=1iCk41EdHrEww9lsCdFIL_h2QAkKDsJdZ</t>
  </si>
  <si>
    <t>vu1f2526078@pvppcoe.ac.in</t>
  </si>
  <si>
    <t>https://drive.google.com/open?id=1oznfJmnit4Eh70nt5bJl9LzQ7sCRJzk-</t>
  </si>
  <si>
    <t>vu4f2526079@pvppcoe.ac.in</t>
  </si>
  <si>
    <t>Screenshot Uploaded</t>
  </si>
  <si>
    <t>https://drive.google.com/open?id=1t8TxC-xHHTCQ7LLpy8Ie5qN1qaDE_SQz</t>
  </si>
  <si>
    <t>vu1f2526153@pvppcoe.ac.in</t>
  </si>
  <si>
    <t xml:space="preserve">3500 PAID </t>
  </si>
  <si>
    <t>https://drive.google.com/open?id=1MUHNCL5OU3SJqVYxOOsdNhVZmEk1zFnf</t>
  </si>
  <si>
    <t>vu4f2526110@pvppcoe.ac.in</t>
  </si>
  <si>
    <t>VU4F2526110@pvppcoe.ac.in</t>
  </si>
  <si>
    <t>https://drive.google.com/open?id=1fxz3tyQW6QttJ08u8dRrcHHm81P4jH1W</t>
  </si>
  <si>
    <t>vu1f2526111@pvppcoe.ac.in</t>
  </si>
  <si>
    <t xml:space="preserve">₹3500 done </t>
  </si>
  <si>
    <t>https://drive.google.com/open?id=1wSiNV0dEdtm3PwD8TXve-CV7uBXb5Xj2</t>
  </si>
  <si>
    <t>vu1f2526137@pvppcoe.ac.in</t>
  </si>
  <si>
    <t>Swastikakavthe03@gmail.com</t>
  </si>
  <si>
    <t>https://drive.google.com/open?id=1Wg8TEM5ptaZpd8OF85DLnpBXbnRlgO8N</t>
  </si>
  <si>
    <t>vu1f2526144@pvppcoe.ac.in</t>
  </si>
  <si>
    <t>3500 paid</t>
  </si>
  <si>
    <t>https://drive.google.com/open?id=1ysDdtNTt5YI9a7A5I5qOk1ihRmxkwEQq</t>
  </si>
  <si>
    <t>vu1f2526143@pvppcoe.ac.in</t>
  </si>
  <si>
    <t>VU1F2526143@pvppcoe.ac.in</t>
  </si>
  <si>
    <t xml:space="preserve">I have by mistakenly 5000 rupees </t>
  </si>
  <si>
    <t>https://drive.google.com/open?id=1T7FJvzoiZQQU_zS9VCUo6lWJfxG5X-P6</t>
  </si>
  <si>
    <t>vu1f2526145@pvppcoe.ac.in</t>
  </si>
  <si>
    <t>3500 Paid</t>
  </si>
  <si>
    <t>https://drive.google.com/open?id=1cZ-hfpmLpriUihR0vzNfVm9Nfo58ZFkZ</t>
  </si>
  <si>
    <t xml:space="preserve">Varad Vinay Tamboli </t>
  </si>
  <si>
    <t>vu3f2526106@pvppcoe.ac.in</t>
  </si>
  <si>
    <t>https://drive.google.com/open?id=1vby1zZC-8UxK_PfrbJOIjOVEg0PD4oJv</t>
  </si>
  <si>
    <t>vu4f2526092@pvppcoe.ac.in</t>
  </si>
  <si>
    <t>3500 rupees paid</t>
  </si>
  <si>
    <t>https://drive.google.com/open?id=12ktarbDbU9j0HsGwH9co5gVGWh5o9eYS</t>
  </si>
  <si>
    <t>ayushsingh13042008@gmail.com</t>
  </si>
  <si>
    <t>https://drive.google.com/open?id=1yca-QFnGhBq4hLK3VqQvyYrX07GnvGp1</t>
  </si>
  <si>
    <t>vu1f2526103@pvppcoe.ac.in</t>
  </si>
  <si>
    <t>https://drive.google.com/open?id=113A66ndEcp7S1Frlxtm7mFajZObOZO8l</t>
  </si>
  <si>
    <t>vu3f2526002@pvppcoe.ac.in</t>
  </si>
  <si>
    <t>Paid/-</t>
  </si>
  <si>
    <t>https://drive.google.com/open?id=1xaWnI3tyn6fUM6fna_5qSBndzobY9hu2</t>
  </si>
  <si>
    <t>vu1f2526052@pvppcoe.ac.in</t>
  </si>
  <si>
    <t>https://drive.google.com/open?id=1yGjb_6tyHI6oXiDgtIfeyeTcPujxdcBL</t>
  </si>
  <si>
    <t>vu1f2526116@pvppcoe.ac.in</t>
  </si>
  <si>
    <t>https://drive.google.com/open?id=1H7e6RdeI4edULu9JsTCLbwPMJ0HBcifJ</t>
  </si>
  <si>
    <t>vu3f2526005@pvppcoe.ac.in</t>
  </si>
  <si>
    <t>https://drive.google.com/open?id=1BpQaP3Ldz8aeJfBgtburAopVV2ef4S4_</t>
  </si>
  <si>
    <t>vu3f2526077@pvppcoe.ac.in</t>
  </si>
  <si>
    <t>https://drive.google.com/open?id=13BeakJOvbyhK2y58n7ZDHnv7Wz-2hSD4</t>
  </si>
  <si>
    <t>vu4f2526091@pvppcoe.ac.in</t>
  </si>
  <si>
    <t>https://drive.google.com/open?id=1C9n_lvyEaqo5OCjYMx6zy4z42DRHdBHe</t>
  </si>
  <si>
    <t>added his another number 7208632988</t>
  </si>
  <si>
    <t>vu1f2526042@pvppcoe.ac.in</t>
  </si>
  <si>
    <t>https://drive.google.com/open?id=1OHVb6kMFU4ePF-rAtVmcwWsl4SyB6tJf</t>
  </si>
  <si>
    <t>vu3f2526011@pvppcoe.ac.in</t>
  </si>
  <si>
    <t>https://drive.google.com/open?id=10Hyy_o-l-Czcvw6L_nnhyWxHnt7XhaxZ</t>
  </si>
  <si>
    <t>yashgosavi4256@gmail.com</t>
  </si>
  <si>
    <t>vu4f2526070@pvppcoe.ac.in</t>
  </si>
  <si>
    <t>https://drive.google.com/open?id=1i1vUcyKpVthcrDATTILlDQ1ZffrmckOF</t>
  </si>
  <si>
    <t>Kk</t>
  </si>
  <si>
    <t>vu4f2526076@pvppcoe.ac.in</t>
  </si>
  <si>
    <t>https://drive.google.com/open?id=1zAf8HACB3hQkDebVCM62YFWRkz9DBR6H</t>
  </si>
  <si>
    <t>vu1f2526038@pvppcoe.ac.in</t>
  </si>
  <si>
    <t>https://drive.google.com/open?id=1b3G_U523vcH7hfgNmABN_0nmKWNBNayK</t>
  </si>
  <si>
    <t>https://drive.google.com/open?id=1HOW3N9pti8LJ8frMp1wybPjd5fafi8vc</t>
  </si>
  <si>
    <t>vu3f2526085@pvppcoe.ac.in</t>
  </si>
  <si>
    <t>https://drive.google.com/open?id=1UL-Ues64mUFjPPBV3aAJQB6I1dlaO7CY</t>
  </si>
  <si>
    <t>vu7f2526001@pvppcoe.ac.in</t>
  </si>
  <si>
    <t>Gonna oay</t>
  </si>
  <si>
    <t>https://drive.google.com/open?id=1zXkR-2updFUGhm1Ms4NCkN0a3jgPlALs</t>
  </si>
  <si>
    <t>https://drive.google.com/open?id=1XarX9rExSZnknhXHb24vRxHwgN-Ec2kp</t>
  </si>
  <si>
    <t>vu1f2526077@pvppcoe.ac.in</t>
  </si>
  <si>
    <t>Transaction ID - 621840352620</t>
  </si>
  <si>
    <t>https://drive.google.com/open?id=1wnZhjlSsyMWXYjnd3Kkk4dpyr5y4YRh-</t>
  </si>
  <si>
    <t>vu2f2526003@pvppcoe.ac.in</t>
  </si>
  <si>
    <t>https://drive.google.com/open?id=1hTP0CmEfwrUtdZkFTbVstbz_v03oklV1</t>
  </si>
  <si>
    <t>vu7f2526019@pvppcoe.ac.in</t>
  </si>
  <si>
    <t>https://drive.google.com/open?id=1XzpFZeqyIuUyQKuhvIF4DFQNxo-EXVj9</t>
  </si>
  <si>
    <t>vu1f2526101@pvppcoe.ac.in</t>
  </si>
  <si>
    <t>https://drive.google.com/open?id=1dJq-FuYMvMZxaDr1xB6DNn3ZlJN4clT0</t>
  </si>
  <si>
    <t>vu7f2526053@pvppcoe.ac.in</t>
  </si>
  <si>
    <t>https://drive.google.com/open?id=1nZLwbVOWKCoGSyPAqoBw_dBVyeCAiegS</t>
  </si>
  <si>
    <t>vu1f2526133@pvppcoe.ac.in</t>
  </si>
  <si>
    <t>Done 👍🏻</t>
  </si>
  <si>
    <t>https://drive.google.com/open?id=1LzoFXeWrpj2M6ViQeX5Rsp2nI8ccMAHB</t>
  </si>
  <si>
    <t>vu1f2526075@pvppcoe.ac.in</t>
  </si>
  <si>
    <t>pranay.v.gondhali@gmail.com</t>
  </si>
  <si>
    <t xml:space="preserve">Transaction I'd :- 658315421666 </t>
  </si>
  <si>
    <t>https://drive.google.com/open?id=1IbmdwE_lCSG3O_1lj2DPYDELYuR9cR4b</t>
  </si>
  <si>
    <t>vu1f2526131@pvppcoe.ac.in</t>
  </si>
  <si>
    <t>https://drive.google.com/open?id=1LXTlvyLt4zAWH-_Eh9eKJrUb4abRxDn2</t>
  </si>
  <si>
    <t>vu1f2526054@pvppcoe.ac.in</t>
  </si>
  <si>
    <t>Done 👍</t>
  </si>
  <si>
    <t>https://drive.google.com/open?id=1njLWzGbfJ6A1PzkMlWLuql9cKQy9FK0r</t>
  </si>
  <si>
    <t>vu1f2526093@pvppcoe.ac.in</t>
  </si>
  <si>
    <t>Complete C2C (Aptitude + Soft Skills + Technical) training - Rs 3500/- DONE</t>
  </si>
  <si>
    <t>https://drive.google.com/open?id=1x-vaDnUU8Ql73uCyJQhCnYnr3cqoUor5</t>
  </si>
  <si>
    <t>vu1f2526124@pvppcoe.ac.in</t>
  </si>
  <si>
    <t>SOHAM SAWANT PAYMENT DONE</t>
  </si>
  <si>
    <t>https://drive.google.com/open?id=1asGKYcnxxB60kyp4c4pld-YgV6j-coKE</t>
  </si>
  <si>
    <t>vu7f2526038@pvppcoe.ac.in</t>
  </si>
  <si>
    <t>https://drive.google.com/open?id=1XlYeOaA_0HbZzIgd1XA6Oi1IT7kVv19J</t>
  </si>
  <si>
    <t>vu3f2526086@pvppcoe.ac.in</t>
  </si>
  <si>
    <t>https://drive.google.com/open?id=1aWIbyvrJBTVgVC2KnKY_7kDxCg8d0QHT</t>
  </si>
  <si>
    <t>vu1f2526016@pvppcoe.ac.in</t>
  </si>
  <si>
    <t>https://drive.google.com/open?id=1gzI6F-aLXiFLPaVGhFufrhu7o4lAhtty</t>
  </si>
  <si>
    <t>vu7f2526011@pvppcoe.ac.in</t>
  </si>
  <si>
    <t>PAID</t>
  </si>
  <si>
    <t>https://drive.google.com/open?id=1yijBvusVoWQ_lKrQnaeH2-ZQc-l6DRRw</t>
  </si>
  <si>
    <t>vu1f2526026@pvppcoe.ac.in</t>
  </si>
  <si>
    <t>https://drive.google.com/open?id=1P8IP2jgDwsa-3bvJEqJxXE0KLo0HkZhD</t>
  </si>
  <si>
    <t>vu1f2526002@pvppcoe.ac.in</t>
  </si>
  <si>
    <t>https://drive.google.com/open?id=1tEAsWjXaBuWWuqH3szUfszcakRGQAEkB</t>
  </si>
  <si>
    <t>vu3f2526063@pvppcoe.ac.in</t>
  </si>
  <si>
    <t>https://drive.google.com/open?id=1hygWFPvyhoRx_kxg1bJsSjTwCNJavJn3</t>
  </si>
  <si>
    <t>vu3f2526064@pvppcoe.ac.in</t>
  </si>
  <si>
    <t>https://drive.google.com/open?id=1Z-0W8-plfvOtUyMgELxIxVwRfZ3kE0aZ</t>
  </si>
  <si>
    <t>vu4f2526001@pvppcoe.ac.in</t>
  </si>
  <si>
    <t>Paid ₹3500 for Complete C2C.</t>
  </si>
  <si>
    <t>https://drive.google.com/open?id=1BsEi3TYUlBH_VY7FmKJVB2BBe3ZFyO3U</t>
  </si>
  <si>
    <t>vu1f2526046@pvppcoe.ac.in</t>
  </si>
  <si>
    <t>https://drive.google.com/open?id=11RD3VTx5IuLZx2mjyj-IGQmF0gc-Xqdm</t>
  </si>
  <si>
    <t>vu1f2526047@pvppcoe.ac.in</t>
  </si>
  <si>
    <t>₹3500</t>
  </si>
  <si>
    <t>https://drive.google.com/open?id=11z7oibcrrzCZ-ZbmHECHB_sZEw6ZJQDo</t>
  </si>
  <si>
    <t>vu3f2526128@pvppcoe.ac.in</t>
  </si>
  <si>
    <t>I have paid the amount.</t>
  </si>
  <si>
    <t>https://drive.google.com/open?id=1cA2DWQBXBYwYbi5X9pdCAHTU0lyX7084</t>
  </si>
  <si>
    <t>vu2f2526075@pvppcoe.ac.in</t>
  </si>
  <si>
    <t>https://drive.google.com/open?id=1ZuwCPXEGzUZQS5N0OncSQmaZBghxGurf</t>
  </si>
  <si>
    <t>vu7f2526037@pvppcoe.ac.in</t>
  </si>
  <si>
    <t>For complete C2C</t>
  </si>
  <si>
    <t>https://drive.google.com/open?id=1X90MEa4pgm40hurWxQhcFkedqi1npuhr</t>
  </si>
  <si>
    <t>vu2f2526129@pvppcoe.ac.in</t>
  </si>
  <si>
    <t>Vu2f2526129@pvppcoe.ac.in</t>
  </si>
  <si>
    <t xml:space="preserve">. </t>
  </si>
  <si>
    <t>https://drive.google.com/open?id=1QfLnGwGQq9tw0oyoFOlk4PbwA8C5D07A</t>
  </si>
  <si>
    <t>vu1f2526021@pvppcoe.ac.in</t>
  </si>
  <si>
    <t>https://drive.google.com/open?id=1Fr-5rKEOYeX_LmLaSk4I1j_w6BO-Sq4K</t>
  </si>
  <si>
    <t>vu3f2526062@pvppcoe.ac.in</t>
  </si>
  <si>
    <t>https://drive.google.com/open?id=1rmuYmU9Hu_uPm1xO7IeFpi5GaZBHax6n</t>
  </si>
  <si>
    <t>vu2f2526001@pvppcoe.ac.in</t>
  </si>
  <si>
    <t>I have paid 3500 rupees for c2c course.</t>
  </si>
  <si>
    <t>https://drive.google.com/open?id=1-nAzfHZDoWLEVbTSRjbsEU4NXpIqVeIH</t>
  </si>
  <si>
    <t>vu2f2526035@pvppcoe.ac.in</t>
  </si>
  <si>
    <t>Only Aptitude &amp; Lifeskills Training - Rs 2000/-</t>
  </si>
  <si>
    <t>Yes done ✅</t>
  </si>
  <si>
    <t>https://drive.google.com/open?id=1u7mH54wQ-GW6Vrs_KKjbR2EDcqZm9L23</t>
  </si>
  <si>
    <t>vu1f2526044@pvppcoe.ac.in</t>
  </si>
  <si>
    <t xml:space="preserve">Atharva Dicholkar </t>
  </si>
  <si>
    <t>https://drive.google.com/open?id=13zCU2ARYOOyLXTOAdW25wVBbBhgT6Pgt</t>
  </si>
  <si>
    <t>vu2f2526131@pvppcoe.ac.in</t>
  </si>
  <si>
    <t>Payment Done 👍</t>
  </si>
  <si>
    <t>https://drive.google.com/open?id=1AiEI3bDfAbm9cOHHYlk1Xaw9KQuP726j</t>
  </si>
  <si>
    <t>vu3f2526032@pvppcoe.ac.in</t>
  </si>
  <si>
    <t>https://drive.google.com/open?id=1uqM_cv5CfPLCaUWu4cfZUKiZkyNN9ppp</t>
  </si>
  <si>
    <t>yes</t>
  </si>
  <si>
    <t>vu1f2526122@pvppcoe.ac.in</t>
  </si>
  <si>
    <t>https://drive.google.com/open?id=1crcPemJlpj7unsI-PNrlwF-1Q0kABJjU</t>
  </si>
  <si>
    <t>vu4f2526109@pvppcoe.ac.in</t>
  </si>
  <si>
    <t>https://drive.google.com/open?id=1eyJ_fz1UCY4_GtMIkC99e0TNyqR87Cvc</t>
  </si>
  <si>
    <t>vu2f2526033@pvppcoe.ac.in</t>
  </si>
  <si>
    <t>Paid 3500 INR</t>
  </si>
  <si>
    <t>https://drive.google.com/open?id=15oQGH4xFis3w02psnF7vTGwx0f41QOpN</t>
  </si>
  <si>
    <t>vu3f2526083@pvppcoe.ac.in</t>
  </si>
  <si>
    <t>https://drive.google.com/open?id=1jNXuyPUsntobU45_LsDzgTlPlCgDIlfX</t>
  </si>
  <si>
    <t>vu2f2526143@pvppcoe.ac.in</t>
  </si>
  <si>
    <t>https://drive.google.com/open?id=18XIwqvFSZkgyGRzAELTgCiX4J5mcwmad</t>
  </si>
  <si>
    <t>vu3f2526084@pvppcoe.ac.in</t>
  </si>
  <si>
    <t>https://drive.google.com/open?id=1DQpoV1UTQ7MtRlFg6gZ9z6Hkk170pBL5</t>
  </si>
  <si>
    <t>vu2f2526127@pvppcoe.ac.in</t>
  </si>
  <si>
    <t xml:space="preserve">3500/- payment done </t>
  </si>
  <si>
    <t>https://drive.google.com/open?id=1I9TNKavbsNiN3fP6gcLm8RzoPFGc0VDb</t>
  </si>
  <si>
    <t>vu2f2526093@pvppcoe.ac.in</t>
  </si>
  <si>
    <t xml:space="preserve">3,500 done </t>
  </si>
  <si>
    <t>https://drive.google.com/open?id=1JqlsvXQ9Kj3QXVWKiLswIzAFFvVxDkoe</t>
  </si>
  <si>
    <t>vu1f2526020@pvppcoe.ac.in</t>
  </si>
  <si>
    <t>https://drive.google.com/open?id=1NBu-1Hrrlibzd45OG1ldrGWUDQVFGW-u</t>
  </si>
  <si>
    <t>vu3f2526122@pvppcoe.ac.in</t>
  </si>
  <si>
    <t>Donee</t>
  </si>
  <si>
    <t>https://drive.google.com/open?id=1z64fF6IZA2qqjEc4mVv2Rg6J8RuZ76B9</t>
  </si>
  <si>
    <t>vu1f2526015@pvppcoe.ac.in</t>
  </si>
  <si>
    <t>https://drive.google.com/open?id=179gD1QNE1nkzd7Ip0Jeyi6sIOU3NRTTd</t>
  </si>
  <si>
    <t>vu3f2526009@pvppcoe.ac.in</t>
  </si>
  <si>
    <t>https://drive.google.com/open?id=1k-c74aYYHBteSsVPE9QCTyG_4g8PIvi8</t>
  </si>
  <si>
    <t>vu4f2526072@pvppcoe.ac.in</t>
  </si>
  <si>
    <t>atpadkarmaruti@gmail.com</t>
  </si>
  <si>
    <t>Done ✅</t>
  </si>
  <si>
    <t>https://drive.google.com/open?id=1sbhfspJ1oxjYNxC8JYeNulpzqZtCc96h</t>
  </si>
  <si>
    <t>rutvijdivekar@gmail.com</t>
  </si>
  <si>
    <t>Paid 3500</t>
  </si>
  <si>
    <t>https://drive.google.com/open?id=1sY4cpGMiGclZcgo-uULlxzSnf9YrmntY</t>
  </si>
  <si>
    <t>-</t>
  </si>
  <si>
    <t>vu1f2526123@pvppcoe.ac.in</t>
  </si>
  <si>
    <t>https://drive.google.com/open?id=1h6ByaE7VDxy6EQJhhFqCo-197FQuQVT8</t>
  </si>
  <si>
    <t>aseemhatre.0280@gmail.com</t>
  </si>
  <si>
    <t>https://drive.google.com/open?id=1azuH1Y31eXASsOLOq2MknqvwhR6UBmEV</t>
  </si>
  <si>
    <t>vu4f2526015@pvppcoe.ac.in</t>
  </si>
  <si>
    <t>https://drive.google.com/open?id=1J-7Le0ImTRApZW2GxR-acYNXn5isDJmI</t>
  </si>
  <si>
    <t>vu4f2526127@pvppcoe.ac.in</t>
  </si>
  <si>
    <t xml:space="preserve">Done payment for complete C2C </t>
  </si>
  <si>
    <t>https://drive.google.com/open?id=13xT1fR4MxT3Qx2gWYxnUYZzg2yTdv6M3</t>
  </si>
  <si>
    <t>angatgala@gmail.com</t>
  </si>
  <si>
    <t xml:space="preserve">I will pay the remaining 1500 in November I am applying for the complete C2C Training </t>
  </si>
  <si>
    <t>https://drive.google.com/open?id=1r4Wcz-gWztD4cCDaxBH1bTCxincDO1Cn</t>
  </si>
  <si>
    <t>vu3f2526048@pvppcoe.ac.in</t>
  </si>
  <si>
    <t>https://drive.google.com/open?id=1zamDEFvNXi4Z_Fr6ov6pCy8QG_oDSh2-</t>
  </si>
  <si>
    <t>vu4f2526050@pvppcoe.ac.in</t>
  </si>
  <si>
    <t xml:space="preserve">Payment done of 3500 rupees for complete C2C </t>
  </si>
  <si>
    <t>https://drive.google.com/open?id=1IiJKIySYIWU30N6QL42Dy1I_CrbRWlOU</t>
  </si>
  <si>
    <t>vu1f2526049@pvppcoe.ac.in</t>
  </si>
  <si>
    <t>https://drive.google.com/open?id=1vyyJ7PGEGJRVW3qmpC940Wfr_foZN3zF</t>
  </si>
  <si>
    <t>vu3f2526071@pvppcoe.ac.in</t>
  </si>
  <si>
    <t>https://drive.google.com/open?id=1YIS38r_vI0PFicgHQviuuexhzhqFg1sP</t>
  </si>
  <si>
    <t>vu1f2526051@pvppcoe.ac.in</t>
  </si>
  <si>
    <t>vu1f2526051@gmail.com</t>
  </si>
  <si>
    <t>https://drive.google.com/open?id=1qr6r4CKfkHDn74jI-OwFtMoi1OTsbKbE</t>
  </si>
  <si>
    <t>vu3f2526124@pvppcoe.ac.in</t>
  </si>
  <si>
    <t>Paid by Vishwanath Kadam</t>
  </si>
  <si>
    <t>https://drive.google.com/open?id=1ivlUc2E3NmcP2A3suPDt_SDXHQaI3EMx</t>
  </si>
  <si>
    <t>vu2f2526135@pvppcoe.ac.in</t>
  </si>
  <si>
    <t>https://drive.google.com/open?id=1nbTWxqTN-aHSmbpRq7jjJ1Jc7V24o-o5</t>
  </si>
  <si>
    <t>vu3f2526022@pvppcoe.ac.in</t>
  </si>
  <si>
    <t>Pay later</t>
  </si>
  <si>
    <t>https://drive.google.com/open?id=1PRBMVVq7qkCGvJ6YUN4ikMaxu8t6kpDE</t>
  </si>
  <si>
    <t>vu3f2526126@pvppcoe.ac.in</t>
  </si>
  <si>
    <t>https://drive.google.com/open?id=1kyGkKvB_4BUtjziinsqjcQ2kPTYXyiIl</t>
  </si>
  <si>
    <t>vu3f2526091@pvppcoe.ac.in</t>
  </si>
  <si>
    <t xml:space="preserve">Done payment </t>
  </si>
  <si>
    <t>https://drive.google.com/open?id=1On3g703iUg4PiF85efZmoF2-ZASmP06d</t>
  </si>
  <si>
    <t>vu1f2526022@pvppcoe.ac.in</t>
  </si>
  <si>
    <t>https://drive.google.com/open?id=13iO1cB5GN400nNbpre7O4N3GLVXAF-Z2</t>
  </si>
  <si>
    <t>vu3f2526050@pvppcoe.ac.in</t>
  </si>
  <si>
    <t>https://drive.google.com/open?id=1diQ9m3vBOmueAkeMvkUlQcJ-8rcWpUMb</t>
  </si>
  <si>
    <t>vu2f2526076@pvppcoe.ac.in</t>
  </si>
  <si>
    <t>payment done</t>
  </si>
  <si>
    <t>https://drive.google.com/open?id=1R-58PLLsaxImXTZWqNxoX8YvfDLEiVsA</t>
  </si>
  <si>
    <t>kaustubhhire84@gmail.com</t>
  </si>
  <si>
    <t>https://drive.google.com/open?id=16QP9atmtYBuFhqSQvBlBEk0DWtoLD9k9</t>
  </si>
  <si>
    <t>vu3f2526104@pvppcoe.ac.in</t>
  </si>
  <si>
    <t>Saish Lad SE ECS</t>
  </si>
  <si>
    <t>https://drive.google.com/open?id=1FL0yvFxZSsO7GvY6VOY7s74WJjvP5jaS</t>
  </si>
  <si>
    <t>vu1f2526146@pvppcoe.ac.in</t>
  </si>
  <si>
    <t>https://drive.google.com/open?id=10fbbloQj-Ax3tjFki7w2n026a0SbosA1</t>
  </si>
  <si>
    <t>vu1f2526110@pvppcoe.ac.in</t>
  </si>
  <si>
    <t>https://drive.google.com/open?id=1Mpql7QpT8C-QiI5g7EMh6ovZCdqDpxDe</t>
  </si>
  <si>
    <t>vu3f2526033@pvppcoe.ac.in</t>
  </si>
  <si>
    <t>3500/-</t>
  </si>
  <si>
    <t>https://drive.google.com/open?id=1__aIX5vdBwhak4bgA7EuKIgLFAilItva</t>
  </si>
  <si>
    <t>vu3f2526031@pvppcoe.ac.in</t>
  </si>
  <si>
    <t>https://drive.google.com/open?id=1hbnz11YBXi5g1EIfz6Mh67BgnOcTBTEs</t>
  </si>
  <si>
    <t>vu3f2526059@pvppcoe.ac.in</t>
  </si>
  <si>
    <t>https://drive.google.com/open?id=1JZgRRpPTHbdVOz1ZoG71ESfFm0xSpn_L</t>
  </si>
  <si>
    <t>vu4f2526117@pvppcoe.ac.in</t>
  </si>
  <si>
    <t>https://drive.google.com/open?id=1yXB0KCdLFtQHth-ApsbWhsVyAkQu9o9E</t>
  </si>
  <si>
    <t xml:space="preserve">Added her another no. 98193 66408 </t>
  </si>
  <si>
    <t>added his another number 9594940681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</si>
</sst>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5"/>
      <color theme="1"/>
      <name val="Arial"/>
      <scheme val="minor"/>
    </font>
    <font>
      <b/>
      <sz val="13"/>
      <color theme="1"/>
      <name val="Arial"/>
      <scheme val="minor"/>
    </font>
    <font>
      <sz val="10"/>
      <name val="Arial"/>
    </font>
    <font>
      <b/>
      <sz val="14"/>
      <color theme="1"/>
      <name val="Arial"/>
      <scheme val="minor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b/>
      <sz val="10"/>
      <color theme="1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rgb="FF434343"/>
      <name val="Roboto"/>
    </font>
    <font>
      <sz val="10"/>
      <color rgb="FFFFCFC9"/>
      <name val="Roboto"/>
    </font>
    <font>
      <u/>
      <sz val="10"/>
      <color rgb="FF434343"/>
      <name val="Roboto"/>
    </font>
    <font>
      <sz val="10"/>
      <color theme="1"/>
      <name val="Roboto"/>
    </font>
    <font>
      <sz val="10"/>
      <color rgb="FFBFE0F6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rgb="FFFF0000"/>
      <name val="Roboto"/>
    </font>
    <font>
      <b/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  <diagonal/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3" xfId="0" applyFont="1" applyFill="1" applyBorder="1"/>
    <xf numFmtId="0" fontId="8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2" borderId="7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9" fontId="1" fillId="4" borderId="9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15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/>
    </xf>
    <xf numFmtId="49" fontId="1" fillId="4" borderId="7" xfId="0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49" fontId="1" fillId="4" borderId="16" xfId="0" applyNumberFormat="1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20" fillId="0" borderId="13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/>
    <xf numFmtId="0" fontId="6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1" xfId="0" applyFont="1" applyFill="1" applyBorder="1"/>
    <xf numFmtId="0" fontId="4" fillId="2" borderId="11" xfId="0" applyFont="1" applyFill="1" applyBorder="1"/>
    <xf numFmtId="0" fontId="4" fillId="4" borderId="12" xfId="0" applyFont="1" applyFill="1" applyBorder="1"/>
    <xf numFmtId="0" fontId="4" fillId="2" borderId="12" xfId="0" applyFont="1" applyFill="1" applyBorder="1"/>
    <xf numFmtId="0" fontId="4" fillId="2" borderId="9" xfId="0" applyFont="1" applyFill="1" applyBorder="1"/>
    <xf numFmtId="0" fontId="4" fillId="4" borderId="9" xfId="0" applyFont="1" applyFill="1" applyBorder="1"/>
    <xf numFmtId="0" fontId="4" fillId="2" borderId="18" xfId="0" applyFont="1" applyFill="1" applyBorder="1"/>
    <xf numFmtId="0" fontId="4" fillId="4" borderId="18" xfId="0" applyFont="1" applyFill="1" applyBorder="1"/>
    <xf numFmtId="0" fontId="4" fillId="4" borderId="19" xfId="0" applyFont="1" applyFill="1" applyBorder="1"/>
    <xf numFmtId="0" fontId="8" fillId="2" borderId="10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Registered Students-style" pivot="0" count="2" xr9:uid="{00000000-0011-0000-FFFF-FFFF00000000}">
      <tableStyleElement type="firstRowStripe" dxfId="11"/>
      <tableStyleElement type="secondRowStripe" dxfId="10"/>
    </tableStyle>
    <tableStyle name="Registered Students-style 2" pivot="0" count="2" xr9:uid="{00000000-0011-0000-FFFF-FFFF01000000}">
      <tableStyleElement type="firstRowStripe" dxfId="9"/>
      <tableStyleElement type="secondRowStripe" dxfId="8"/>
    </tableStyle>
    <tableStyle name="Payment Status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orm Responses 1-style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orm_Responses" displayName="Form_Responses" ref="A1:L163">
  <tableColumns count="12">
    <tableColumn id="1" xr3:uid="{00000000-0010-0000-0000-000001000000}" name="Timestamp"/>
    <tableColumn id="2" xr3:uid="{00000000-0010-0000-0000-000002000000}" name="Email Address"/>
    <tableColumn id="3" xr3:uid="{00000000-0010-0000-0000-000003000000}" name="Student ID Number"/>
    <tableColumn id="4" xr3:uid="{00000000-0010-0000-0000-000004000000}" name="Email"/>
    <tableColumn id="5" xr3:uid="{00000000-0010-0000-0000-000005000000}" name="Full Name of Student (Starting with Surname) "/>
    <tableColumn id="6" xr3:uid="{00000000-0010-0000-0000-000006000000}" name="Contact Number"/>
    <tableColumn id="7" xr3:uid="{00000000-0010-0000-0000-000007000000}" name="Year Of Study"/>
    <tableColumn id="8" xr3:uid="{00000000-0010-0000-0000-000008000000}" name="Branch"/>
    <tableColumn id="9" xr3:uid="{00000000-0010-0000-0000-000009000000}" name="Training Opted ?"/>
    <tableColumn id="10" xr3:uid="{00000000-0010-0000-0000-00000A000000}" name="Payment QR Code "/>
    <tableColumn id="11" xr3:uid="{00000000-0010-0000-0000-00000B000000}" name="Share Payment Screenshot"/>
    <tableColumn id="12" xr3:uid="{00000000-0010-0000-0000-00000C000000}" name="Event Poster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" displayName="Table1" ref="A1:N170">
  <autoFilter ref="A1:N170" xr:uid="{00000000-0009-0000-0100-000004000000}"/>
  <tableColumns count="14">
    <tableColumn id="1" xr3:uid="{00000000-0010-0000-0100-000001000000}" name="Timestamp"/>
    <tableColumn id="2" xr3:uid="{00000000-0010-0000-0100-000002000000}" name="Email Address"/>
    <tableColumn id="3" xr3:uid="{00000000-0010-0000-0100-000003000000}" name="Student ID Number"/>
    <tableColumn id="4" xr3:uid="{00000000-0010-0000-0100-000004000000}" name="Email"/>
    <tableColumn id="5" xr3:uid="{00000000-0010-0000-0100-000005000000}" name="Full Name of Student (Starting with Surname) "/>
    <tableColumn id="6" xr3:uid="{00000000-0010-0000-0100-000006000000}" name="Contact Number"/>
    <tableColumn id="7" xr3:uid="{00000000-0010-0000-0100-000007000000}" name="Year Of Study"/>
    <tableColumn id="8" xr3:uid="{00000000-0010-0000-0100-000008000000}" name="Branch"/>
    <tableColumn id="9" xr3:uid="{00000000-0010-0000-0100-000009000000}" name="Training Opted ?"/>
    <tableColumn id="10" xr3:uid="{00000000-0010-0000-0100-00000A000000}" name="Share Payment Screenshot"/>
    <tableColumn id="11" xr3:uid="{00000000-0010-0000-0100-00000B000000}" name="Amount Paid"/>
    <tableColumn id="12" xr3:uid="{00000000-0010-0000-0100-00000C000000}" name="Payment made to "/>
    <tableColumn id="13" xr3:uid="{00000000-0010-0000-0100-00000D000000}" name="Added to WhatsApp Group?"/>
    <tableColumn id="14" xr3:uid="{00000000-0010-0000-0100-00000E000000}" name="Status"/>
  </tableColumns>
  <tableStyleInfo name="Payment Statu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_1" displayName="Table_1" ref="I156:I314" headerRowCount="0">
  <tableColumns count="1">
    <tableColumn id="1" xr3:uid="{00000000-0010-0000-0200-000001000000}" name="Column1"/>
  </tableColumns>
  <tableStyleInfo name="Registered Student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_2" displayName="Table_2" ref="J156:L314" headerRowCount="0">
  <tableColumns count="3">
    <tableColumn id="1" xr3:uid="{00000000-0010-0000-0300-000001000000}" name="Column1"/>
    <tableColumn id="2" xr3:uid="{00000000-0010-0000-0300-000002000000}" name="Column2"/>
    <tableColumn id="3" xr3:uid="{00000000-0010-0000-0300-000003000000}" name="Column3"/>
  </tableColumns>
  <tableStyleInfo name="Registered Student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rmuYmU9Hu_uPm1xO7IeFpi5GaZBHax6n" TargetMode="External"/><Relationship Id="rId21" Type="http://schemas.openxmlformats.org/officeDocument/2006/relationships/hyperlink" Target="https://drive.google.com/open?id=1Gyd0FkkDMdghnB04mWafNjgGl8uxb4tW" TargetMode="External"/><Relationship Id="rId42" Type="http://schemas.openxmlformats.org/officeDocument/2006/relationships/hyperlink" Target="https://drive.google.com/open?id=1saQp3JyvxC1Q7rlXsfCE7tHD0PzgTZxb" TargetMode="External"/><Relationship Id="rId63" Type="http://schemas.openxmlformats.org/officeDocument/2006/relationships/hyperlink" Target="https://drive.google.com/open?id=1t8TxC-xHHTCQ7LLpy8Ie5qN1qaDE_SQz" TargetMode="External"/><Relationship Id="rId84" Type="http://schemas.openxmlformats.org/officeDocument/2006/relationships/hyperlink" Target="https://drive.google.com/open?id=1zAf8HACB3hQkDebVCM62YFWRkz9DBR6H" TargetMode="External"/><Relationship Id="rId138" Type="http://schemas.openxmlformats.org/officeDocument/2006/relationships/hyperlink" Target="https://drive.google.com/open?id=1azuH1Y31eXASsOLOq2MknqvwhR6UBmEV" TargetMode="External"/><Relationship Id="rId159" Type="http://schemas.openxmlformats.org/officeDocument/2006/relationships/hyperlink" Target="https://drive.google.com/open?id=1__aIX5vdBwhak4bgA7EuKIgLFAilItva" TargetMode="External"/><Relationship Id="rId107" Type="http://schemas.openxmlformats.org/officeDocument/2006/relationships/hyperlink" Target="https://drive.google.com/open?id=1hygWFPvyhoRx_kxg1bJsSjTwCNJavJn3" TargetMode="External"/><Relationship Id="rId11" Type="http://schemas.openxmlformats.org/officeDocument/2006/relationships/hyperlink" Target="https://drive.google.com/open?id=1sJZdjStFyr0MevmUYhf3RgNl6DUKppPV" TargetMode="External"/><Relationship Id="rId32" Type="http://schemas.openxmlformats.org/officeDocument/2006/relationships/hyperlink" Target="https://drive.google.com/open?id=1TL8kIRI-jjZwU2yzm-9lnsLywvPK2AeW" TargetMode="External"/><Relationship Id="rId53" Type="http://schemas.openxmlformats.org/officeDocument/2006/relationships/hyperlink" Target="https://drive.google.com/open?id=1yKj6L69oJyY0_kAD5cILzEYenPKsQY0z" TargetMode="External"/><Relationship Id="rId74" Type="http://schemas.openxmlformats.org/officeDocument/2006/relationships/hyperlink" Target="https://drive.google.com/open?id=113A66ndEcp7S1Frlxtm7mFajZObOZO8l" TargetMode="External"/><Relationship Id="rId128" Type="http://schemas.openxmlformats.org/officeDocument/2006/relationships/hyperlink" Target="https://drive.google.com/open?id=1DQpoV1UTQ7MtRlFg6gZ9z6Hkk170pBL5" TargetMode="External"/><Relationship Id="rId149" Type="http://schemas.openxmlformats.org/officeDocument/2006/relationships/hyperlink" Target="https://drive.google.com/open?id=1PRBMVVq7qkCGvJ6YUN4ikMaxu8t6kpDE" TargetMode="External"/><Relationship Id="rId5" Type="http://schemas.openxmlformats.org/officeDocument/2006/relationships/hyperlink" Target="https://drive.google.com/open?id=1HRg3e0FrX6FRYJR6wcCVfehWZLjESg3g" TargetMode="External"/><Relationship Id="rId95" Type="http://schemas.openxmlformats.org/officeDocument/2006/relationships/hyperlink" Target="https://drive.google.com/open?id=1LzoFXeWrpj2M6ViQeX5Rsp2nI8ccMAHB" TargetMode="External"/><Relationship Id="rId160" Type="http://schemas.openxmlformats.org/officeDocument/2006/relationships/hyperlink" Target="https://drive.google.com/open?id=1hbnz11YBXi5g1EIfz6Mh67BgnOcTBTEs" TargetMode="External"/><Relationship Id="rId22" Type="http://schemas.openxmlformats.org/officeDocument/2006/relationships/hyperlink" Target="https://drive.google.com/open?id=1Cc3HD8aYHP5PFCBUjji35LEbR1_Omkzo" TargetMode="External"/><Relationship Id="rId43" Type="http://schemas.openxmlformats.org/officeDocument/2006/relationships/hyperlink" Target="https://drive.google.com/open?id=1KQyoZN9WmqLB9bQULAD977hce13VMGmi" TargetMode="External"/><Relationship Id="rId64" Type="http://schemas.openxmlformats.org/officeDocument/2006/relationships/hyperlink" Target="https://drive.google.com/open?id=1MUHNCL5OU3SJqVYxOOsdNhVZmEk1zFnf" TargetMode="External"/><Relationship Id="rId118" Type="http://schemas.openxmlformats.org/officeDocument/2006/relationships/hyperlink" Target="https://drive.google.com/open?id=1-nAzfHZDoWLEVbTSRjbsEU4NXpIqVeIH" TargetMode="External"/><Relationship Id="rId139" Type="http://schemas.openxmlformats.org/officeDocument/2006/relationships/hyperlink" Target="https://drive.google.com/open?id=1J-7Le0ImTRApZW2GxR-acYNXn5isDJmI" TargetMode="External"/><Relationship Id="rId85" Type="http://schemas.openxmlformats.org/officeDocument/2006/relationships/hyperlink" Target="https://drive.google.com/open?id=1b3G_U523vcH7hfgNmABN_0nmKWNBNayK" TargetMode="External"/><Relationship Id="rId150" Type="http://schemas.openxmlformats.org/officeDocument/2006/relationships/hyperlink" Target="https://drive.google.com/open?id=1kyGkKvB_4BUtjziinsqjcQ2kPTYXyiIl" TargetMode="External"/><Relationship Id="rId12" Type="http://schemas.openxmlformats.org/officeDocument/2006/relationships/hyperlink" Target="https://drive.google.com/open?id=1BGLscvtpWVGC9Q_j_Dg9kRaFflSAG0Pz" TargetMode="External"/><Relationship Id="rId17" Type="http://schemas.openxmlformats.org/officeDocument/2006/relationships/hyperlink" Target="https://drive.google.com/open?id=1qq8OhzbCvCcsfG4au9_iYcSy_UQBfeXa" TargetMode="External"/><Relationship Id="rId33" Type="http://schemas.openxmlformats.org/officeDocument/2006/relationships/hyperlink" Target="https://drive.google.com/open?id=1srRlYAT9y7NBBA6cyPXeqA296CqnEUo5" TargetMode="External"/><Relationship Id="rId38" Type="http://schemas.openxmlformats.org/officeDocument/2006/relationships/hyperlink" Target="https://drive.google.com/open?id=1hgSOZGxTpBoCutPIqkWcz3JB-Bs13pDC" TargetMode="External"/><Relationship Id="rId59" Type="http://schemas.openxmlformats.org/officeDocument/2006/relationships/hyperlink" Target="https://drive.google.com/open?id=1pYILoUv4KEHB5q_expalO9of5toUX8Ih" TargetMode="External"/><Relationship Id="rId103" Type="http://schemas.openxmlformats.org/officeDocument/2006/relationships/hyperlink" Target="https://drive.google.com/open?id=1gzI6F-aLXiFLPaVGhFufrhu7o4lAhtty" TargetMode="External"/><Relationship Id="rId108" Type="http://schemas.openxmlformats.org/officeDocument/2006/relationships/hyperlink" Target="https://drive.google.com/open?id=1Z-0W8-plfvOtUyMgELxIxVwRfZ3kE0aZ" TargetMode="External"/><Relationship Id="rId124" Type="http://schemas.openxmlformats.org/officeDocument/2006/relationships/hyperlink" Target="https://drive.google.com/open?id=1eyJ_fz1UCY4_GtMIkC99e0TNyqR87Cvc" TargetMode="External"/><Relationship Id="rId129" Type="http://schemas.openxmlformats.org/officeDocument/2006/relationships/hyperlink" Target="https://drive.google.com/open?id=1I9TNKavbsNiN3fP6gcLm8RzoPFGc0VDb" TargetMode="External"/><Relationship Id="rId54" Type="http://schemas.openxmlformats.org/officeDocument/2006/relationships/hyperlink" Target="https://drive.google.com/open?id=1LG3deDfN-Mz2ITCZ1QEm1g7KRKQT922r" TargetMode="External"/><Relationship Id="rId70" Type="http://schemas.openxmlformats.org/officeDocument/2006/relationships/hyperlink" Target="https://drive.google.com/open?id=1cZ-hfpmLpriUihR0vzNfVm9Nfo58ZFkZ" TargetMode="External"/><Relationship Id="rId75" Type="http://schemas.openxmlformats.org/officeDocument/2006/relationships/hyperlink" Target="https://drive.google.com/open?id=1xaWnI3tyn6fUM6fna_5qSBndzobY9hu2" TargetMode="External"/><Relationship Id="rId91" Type="http://schemas.openxmlformats.org/officeDocument/2006/relationships/hyperlink" Target="https://drive.google.com/open?id=1hTP0CmEfwrUtdZkFTbVstbz_v03oklV1" TargetMode="External"/><Relationship Id="rId96" Type="http://schemas.openxmlformats.org/officeDocument/2006/relationships/hyperlink" Target="https://drive.google.com/open?id=1IbmdwE_lCSG3O_1lj2DPYDELYuR9cR4b" TargetMode="External"/><Relationship Id="rId140" Type="http://schemas.openxmlformats.org/officeDocument/2006/relationships/hyperlink" Target="https://drive.google.com/open?id=13xT1fR4MxT3Qx2gWYxnUYZzg2yTdv6M3" TargetMode="External"/><Relationship Id="rId145" Type="http://schemas.openxmlformats.org/officeDocument/2006/relationships/hyperlink" Target="https://drive.google.com/open?id=1YIS38r_vI0PFicgHQviuuexhzhqFg1sP" TargetMode="External"/><Relationship Id="rId161" Type="http://schemas.openxmlformats.org/officeDocument/2006/relationships/hyperlink" Target="https://drive.google.com/open?id=1JZgRRpPTHbdVOz1ZoG71ESfFm0xSpn_L" TargetMode="External"/><Relationship Id="rId1" Type="http://schemas.openxmlformats.org/officeDocument/2006/relationships/hyperlink" Target="https://drive.google.com/open?id=1AIVzemuGUNnX0w2-MclkGOZiHj5HB616" TargetMode="External"/><Relationship Id="rId6" Type="http://schemas.openxmlformats.org/officeDocument/2006/relationships/hyperlink" Target="https://drive.google.com/open?id=1nC8fLMNwpTLCWF28rJYUN75D15P6SxFI" TargetMode="External"/><Relationship Id="rId23" Type="http://schemas.openxmlformats.org/officeDocument/2006/relationships/hyperlink" Target="https://drive.google.com/open?id=1sm7ry2d6QGmhIGMA4Riij8Lx42boLNnr" TargetMode="External"/><Relationship Id="rId28" Type="http://schemas.openxmlformats.org/officeDocument/2006/relationships/hyperlink" Target="https://drive.google.com/open?id=1r1WGJDeiGs0Au86L4TqpLQdlPjm2PlhS" TargetMode="External"/><Relationship Id="rId49" Type="http://schemas.openxmlformats.org/officeDocument/2006/relationships/hyperlink" Target="https://drive.google.com/open?id=14XVrQa1b5ulL-1GJWYACgzMLINOpgaTZ" TargetMode="External"/><Relationship Id="rId114" Type="http://schemas.openxmlformats.org/officeDocument/2006/relationships/hyperlink" Target="https://drive.google.com/open?id=1X90MEa4pgm40hurWxQhcFkedqi1npuhr" TargetMode="External"/><Relationship Id="rId119" Type="http://schemas.openxmlformats.org/officeDocument/2006/relationships/hyperlink" Target="https://drive.google.com/open?id=1u7mH54wQ-GW6Vrs_KKjbR2EDcqZm9L23" TargetMode="External"/><Relationship Id="rId44" Type="http://schemas.openxmlformats.org/officeDocument/2006/relationships/hyperlink" Target="https://drive.google.com/open?id=1P1rg6dBtOrhjmuc4eKqpkXZazyNwj9iv" TargetMode="External"/><Relationship Id="rId60" Type="http://schemas.openxmlformats.org/officeDocument/2006/relationships/hyperlink" Target="https://drive.google.com/open?id=1Iajo4XMvzOP05zdjn0pJpYP6NpR0Ns6I" TargetMode="External"/><Relationship Id="rId65" Type="http://schemas.openxmlformats.org/officeDocument/2006/relationships/hyperlink" Target="https://drive.google.com/open?id=1fxz3tyQW6QttJ08u8dRrcHHm81P4jH1W" TargetMode="External"/><Relationship Id="rId81" Type="http://schemas.openxmlformats.org/officeDocument/2006/relationships/hyperlink" Target="https://drive.google.com/open?id=1OHVb6kMFU4ePF-rAtVmcwWsl4SyB6tJf" TargetMode="External"/><Relationship Id="rId86" Type="http://schemas.openxmlformats.org/officeDocument/2006/relationships/hyperlink" Target="https://drive.google.com/open?id=1HOW3N9pti8LJ8frMp1wybPjd5fafi8vc" TargetMode="External"/><Relationship Id="rId130" Type="http://schemas.openxmlformats.org/officeDocument/2006/relationships/hyperlink" Target="https://drive.google.com/open?id=1JqlsvXQ9Kj3QXVWKiLswIzAFFvVxDkoe" TargetMode="External"/><Relationship Id="rId135" Type="http://schemas.openxmlformats.org/officeDocument/2006/relationships/hyperlink" Target="https://drive.google.com/open?id=1sbhfspJ1oxjYNxC8JYeNulpzqZtCc96h" TargetMode="External"/><Relationship Id="rId151" Type="http://schemas.openxmlformats.org/officeDocument/2006/relationships/hyperlink" Target="https://drive.google.com/open?id=1On3g703iUg4PiF85efZmoF2-ZASmP06d" TargetMode="External"/><Relationship Id="rId156" Type="http://schemas.openxmlformats.org/officeDocument/2006/relationships/hyperlink" Target="https://drive.google.com/open?id=1FL0yvFxZSsO7GvY6VOY7s74WJjvP5jaS" TargetMode="External"/><Relationship Id="rId13" Type="http://schemas.openxmlformats.org/officeDocument/2006/relationships/hyperlink" Target="https://drive.google.com/open?id=1UhpB2wVSHDdsltoyZFDECIki4EyNLu4f" TargetMode="External"/><Relationship Id="rId18" Type="http://schemas.openxmlformats.org/officeDocument/2006/relationships/hyperlink" Target="https://drive.google.com/open?id=1ntNdkF2fovJ_jHEnmbgurSEuqAvMh3Pm" TargetMode="External"/><Relationship Id="rId39" Type="http://schemas.openxmlformats.org/officeDocument/2006/relationships/hyperlink" Target="https://drive.google.com/open?id=1oTzl6ykcTzlUGL1bhyDlEJotZ9CLVbTU" TargetMode="External"/><Relationship Id="rId109" Type="http://schemas.openxmlformats.org/officeDocument/2006/relationships/hyperlink" Target="https://drive.google.com/open?id=1BsEi3TYUlBH_VY7FmKJVB2BBe3ZFyO3U" TargetMode="External"/><Relationship Id="rId34" Type="http://schemas.openxmlformats.org/officeDocument/2006/relationships/hyperlink" Target="https://drive.google.com/open?id=1Wrbs6tZk5dcbvP607WIJtE8_0FTw2m2l" TargetMode="External"/><Relationship Id="rId50" Type="http://schemas.openxmlformats.org/officeDocument/2006/relationships/hyperlink" Target="https://drive.google.com/open?id=1OmcTq8nkpH6hd__M1k9UEblw50gGBZOO" TargetMode="External"/><Relationship Id="rId55" Type="http://schemas.openxmlformats.org/officeDocument/2006/relationships/hyperlink" Target="https://drive.google.com/open?id=1JVwgQzEi1KMDwkJBSkEhVg0cvbpoh2aA" TargetMode="External"/><Relationship Id="rId76" Type="http://schemas.openxmlformats.org/officeDocument/2006/relationships/hyperlink" Target="https://drive.google.com/open?id=1yGjb_6tyHI6oXiDgtIfeyeTcPujxdcBL" TargetMode="External"/><Relationship Id="rId97" Type="http://schemas.openxmlformats.org/officeDocument/2006/relationships/hyperlink" Target="https://drive.google.com/open?id=1LXTlvyLt4zAWH-_Eh9eKJrUb4abRxDn2" TargetMode="External"/><Relationship Id="rId104" Type="http://schemas.openxmlformats.org/officeDocument/2006/relationships/hyperlink" Target="https://drive.google.com/open?id=1yijBvusVoWQ_lKrQnaeH2-ZQc-l6DRRw" TargetMode="External"/><Relationship Id="rId120" Type="http://schemas.openxmlformats.org/officeDocument/2006/relationships/hyperlink" Target="https://drive.google.com/open?id=13zCU2ARYOOyLXTOAdW25wVBbBhgT6Pgt" TargetMode="External"/><Relationship Id="rId125" Type="http://schemas.openxmlformats.org/officeDocument/2006/relationships/hyperlink" Target="https://drive.google.com/open?id=15oQGH4xFis3w02psnF7vTGwx0f41QOpN" TargetMode="External"/><Relationship Id="rId141" Type="http://schemas.openxmlformats.org/officeDocument/2006/relationships/hyperlink" Target="https://drive.google.com/open?id=1r4Wcz-gWztD4cCDaxBH1bTCxincDO1Cn" TargetMode="External"/><Relationship Id="rId146" Type="http://schemas.openxmlformats.org/officeDocument/2006/relationships/hyperlink" Target="https://drive.google.com/open?id=1qr6r4CKfkHDn74jI-OwFtMoi1OTsbKbE" TargetMode="External"/><Relationship Id="rId7" Type="http://schemas.openxmlformats.org/officeDocument/2006/relationships/hyperlink" Target="https://drive.google.com/open?id=1PlCe09HLGv1fNJ6j5xSx1Ee5Oh-Vcsa5" TargetMode="External"/><Relationship Id="rId71" Type="http://schemas.openxmlformats.org/officeDocument/2006/relationships/hyperlink" Target="https://drive.google.com/open?id=1vby1zZC-8UxK_PfrbJOIjOVEg0PD4oJv" TargetMode="External"/><Relationship Id="rId92" Type="http://schemas.openxmlformats.org/officeDocument/2006/relationships/hyperlink" Target="https://drive.google.com/open?id=1XzpFZeqyIuUyQKuhvIF4DFQNxo-EXVj9" TargetMode="External"/><Relationship Id="rId162" Type="http://schemas.openxmlformats.org/officeDocument/2006/relationships/hyperlink" Target="https://drive.google.com/open?id=1yXB0KCdLFtQHth-ApsbWhsVyAkQu9o9E" TargetMode="External"/><Relationship Id="rId2" Type="http://schemas.openxmlformats.org/officeDocument/2006/relationships/hyperlink" Target="https://drive.google.com/open?id=1LI5OwaswJqQWkdvYFYo9U-K_K9kW8Z7P" TargetMode="External"/><Relationship Id="rId29" Type="http://schemas.openxmlformats.org/officeDocument/2006/relationships/hyperlink" Target="https://drive.google.com/open?id=13TgqsONgirCRCJ4kS5rG29-60bj9tqhm" TargetMode="External"/><Relationship Id="rId24" Type="http://schemas.openxmlformats.org/officeDocument/2006/relationships/hyperlink" Target="https://drive.google.com/open?id=1DXxK7otp-tFswoCMk9ga7g374BgjSnlT" TargetMode="External"/><Relationship Id="rId40" Type="http://schemas.openxmlformats.org/officeDocument/2006/relationships/hyperlink" Target="https://drive.google.com/open?id=1YFHh-vmRn_dwWRb_xI1K5mTBYB7CzldW" TargetMode="External"/><Relationship Id="rId45" Type="http://schemas.openxmlformats.org/officeDocument/2006/relationships/hyperlink" Target="https://drive.google.com/open?id=168hu_5Mu-Ge134Gpn-sZTAJqFKPaL0Vl" TargetMode="External"/><Relationship Id="rId66" Type="http://schemas.openxmlformats.org/officeDocument/2006/relationships/hyperlink" Target="https://drive.google.com/open?id=1wSiNV0dEdtm3PwD8TXve-CV7uBXb5Xj2" TargetMode="External"/><Relationship Id="rId87" Type="http://schemas.openxmlformats.org/officeDocument/2006/relationships/hyperlink" Target="https://drive.google.com/open?id=1UL-Ues64mUFjPPBV3aAJQB6I1dlaO7CY" TargetMode="External"/><Relationship Id="rId110" Type="http://schemas.openxmlformats.org/officeDocument/2006/relationships/hyperlink" Target="https://drive.google.com/open?id=11RD3VTx5IuLZx2mjyj-IGQmF0gc-Xqdm" TargetMode="External"/><Relationship Id="rId115" Type="http://schemas.openxmlformats.org/officeDocument/2006/relationships/hyperlink" Target="https://drive.google.com/open?id=1QfLnGwGQq9tw0oyoFOlk4PbwA8C5D07A" TargetMode="External"/><Relationship Id="rId131" Type="http://schemas.openxmlformats.org/officeDocument/2006/relationships/hyperlink" Target="https://drive.google.com/open?id=1NBu-1Hrrlibzd45OG1ldrGWUDQVFGW-u" TargetMode="External"/><Relationship Id="rId136" Type="http://schemas.openxmlformats.org/officeDocument/2006/relationships/hyperlink" Target="https://drive.google.com/open?id=1sY4cpGMiGclZcgo-uULlxzSnf9YrmntY" TargetMode="External"/><Relationship Id="rId157" Type="http://schemas.openxmlformats.org/officeDocument/2006/relationships/hyperlink" Target="https://drive.google.com/open?id=10fbbloQj-Ax3tjFki7w2n026a0SbosA1" TargetMode="External"/><Relationship Id="rId61" Type="http://schemas.openxmlformats.org/officeDocument/2006/relationships/hyperlink" Target="https://drive.google.com/open?id=1iCk41EdHrEww9lsCdFIL_h2QAkKDsJdZ" TargetMode="External"/><Relationship Id="rId82" Type="http://schemas.openxmlformats.org/officeDocument/2006/relationships/hyperlink" Target="https://drive.google.com/open?id=10Hyy_o-l-Czcvw6L_nnhyWxHnt7XhaxZ" TargetMode="External"/><Relationship Id="rId152" Type="http://schemas.openxmlformats.org/officeDocument/2006/relationships/hyperlink" Target="https://drive.google.com/open?id=13iO1cB5GN400nNbpre7O4N3GLVXAF-Z2" TargetMode="External"/><Relationship Id="rId19" Type="http://schemas.openxmlformats.org/officeDocument/2006/relationships/hyperlink" Target="https://drive.google.com/open?id=1BN9BqwC2Fx2yUAd8hyR5glTrb7AKq9OT" TargetMode="External"/><Relationship Id="rId14" Type="http://schemas.openxmlformats.org/officeDocument/2006/relationships/hyperlink" Target="https://drive.google.com/open?id=1rU7cHcDlCR0DVUtLnYwoLwLd_eW__Snx" TargetMode="External"/><Relationship Id="rId30" Type="http://schemas.openxmlformats.org/officeDocument/2006/relationships/hyperlink" Target="https://drive.google.com/open?id=17llLcndaE4vzOZYIrd0QEhmMNumu3zRy" TargetMode="External"/><Relationship Id="rId35" Type="http://schemas.openxmlformats.org/officeDocument/2006/relationships/hyperlink" Target="https://drive.google.com/open?id=1t9jfpmdNgdQ1Hr5Lhj-1JILHkK8gly94" TargetMode="External"/><Relationship Id="rId56" Type="http://schemas.openxmlformats.org/officeDocument/2006/relationships/hyperlink" Target="https://drive.google.com/open?id=1nLTGQGPIcNSBnTeqpaFCjKpRlnmvfJ9_" TargetMode="External"/><Relationship Id="rId77" Type="http://schemas.openxmlformats.org/officeDocument/2006/relationships/hyperlink" Target="https://drive.google.com/open?id=1H7e6RdeI4edULu9JsTCLbwPMJ0HBcifJ" TargetMode="External"/><Relationship Id="rId100" Type="http://schemas.openxmlformats.org/officeDocument/2006/relationships/hyperlink" Target="https://drive.google.com/open?id=1asGKYcnxxB60kyp4c4pld-YgV6j-coKE" TargetMode="External"/><Relationship Id="rId105" Type="http://schemas.openxmlformats.org/officeDocument/2006/relationships/hyperlink" Target="https://drive.google.com/open?id=1P8IP2jgDwsa-3bvJEqJxXE0KLo0HkZhD" TargetMode="External"/><Relationship Id="rId126" Type="http://schemas.openxmlformats.org/officeDocument/2006/relationships/hyperlink" Target="https://drive.google.com/open?id=1jNXuyPUsntobU45_LsDzgTlPlCgDIlfX" TargetMode="External"/><Relationship Id="rId147" Type="http://schemas.openxmlformats.org/officeDocument/2006/relationships/hyperlink" Target="https://drive.google.com/open?id=1ivlUc2E3NmcP2A3suPDt_SDXHQaI3EMx" TargetMode="External"/><Relationship Id="rId8" Type="http://schemas.openxmlformats.org/officeDocument/2006/relationships/hyperlink" Target="https://drive.google.com/open?id=1IbKuXxSVeCeyYStGG9XyXm2V3CcF2909" TargetMode="External"/><Relationship Id="rId51" Type="http://schemas.openxmlformats.org/officeDocument/2006/relationships/hyperlink" Target="https://drive.google.com/open?id=1dtnlKl-qaqgClJzXzDAASiKfrFEgNUCu" TargetMode="External"/><Relationship Id="rId72" Type="http://schemas.openxmlformats.org/officeDocument/2006/relationships/hyperlink" Target="https://drive.google.com/open?id=12ktarbDbU9j0HsGwH9co5gVGWh5o9eYS" TargetMode="External"/><Relationship Id="rId93" Type="http://schemas.openxmlformats.org/officeDocument/2006/relationships/hyperlink" Target="https://drive.google.com/open?id=1dJq-FuYMvMZxaDr1xB6DNn3ZlJN4clT0" TargetMode="External"/><Relationship Id="rId98" Type="http://schemas.openxmlformats.org/officeDocument/2006/relationships/hyperlink" Target="https://drive.google.com/open?id=1njLWzGbfJ6A1PzkMlWLuql9cKQy9FK0r" TargetMode="External"/><Relationship Id="rId121" Type="http://schemas.openxmlformats.org/officeDocument/2006/relationships/hyperlink" Target="https://drive.google.com/open?id=1AiEI3bDfAbm9cOHHYlk1Xaw9KQuP726j" TargetMode="External"/><Relationship Id="rId142" Type="http://schemas.openxmlformats.org/officeDocument/2006/relationships/hyperlink" Target="https://drive.google.com/open?id=1zamDEFvNXi4Z_Fr6ov6pCy8QG_oDSh2-" TargetMode="External"/><Relationship Id="rId163" Type="http://schemas.openxmlformats.org/officeDocument/2006/relationships/table" Target="../tables/table1.xml"/><Relationship Id="rId3" Type="http://schemas.openxmlformats.org/officeDocument/2006/relationships/hyperlink" Target="https://drive.google.com/open?id=1d8Q1K9QYDOWGLQOBwEj6uzFf_KKeSF0v" TargetMode="External"/><Relationship Id="rId25" Type="http://schemas.openxmlformats.org/officeDocument/2006/relationships/hyperlink" Target="https://drive.google.com/open?id=1jxSDmQgZTYwYb5ugBgh-cYfpTeGXzoa_" TargetMode="External"/><Relationship Id="rId46" Type="http://schemas.openxmlformats.org/officeDocument/2006/relationships/hyperlink" Target="https://drive.google.com/open?id=1IPP0Irvza3IZBIKDL8hTLppj_XX-eFaf" TargetMode="External"/><Relationship Id="rId67" Type="http://schemas.openxmlformats.org/officeDocument/2006/relationships/hyperlink" Target="https://drive.google.com/open?id=1Wg8TEM5ptaZpd8OF85DLnpBXbnRlgO8N" TargetMode="External"/><Relationship Id="rId116" Type="http://schemas.openxmlformats.org/officeDocument/2006/relationships/hyperlink" Target="https://drive.google.com/open?id=1Fr-5rKEOYeX_LmLaSk4I1j_w6BO-Sq4K" TargetMode="External"/><Relationship Id="rId137" Type="http://schemas.openxmlformats.org/officeDocument/2006/relationships/hyperlink" Target="https://drive.google.com/open?id=1h6ByaE7VDxy6EQJhhFqCo-197FQuQVT8" TargetMode="External"/><Relationship Id="rId158" Type="http://schemas.openxmlformats.org/officeDocument/2006/relationships/hyperlink" Target="https://drive.google.com/open?id=1Mpql7QpT8C-QiI5g7EMh6ovZCdqDpxDe" TargetMode="External"/><Relationship Id="rId20" Type="http://schemas.openxmlformats.org/officeDocument/2006/relationships/hyperlink" Target="https://drive.google.com/open?id=1iVYejZygWqL5K3_EVDrSO9d-X97FJoD5" TargetMode="External"/><Relationship Id="rId41" Type="http://schemas.openxmlformats.org/officeDocument/2006/relationships/hyperlink" Target="https://drive.google.com/open?id=1yAFnaky1tjehKj71iyOpnqGZoT5sLupC" TargetMode="External"/><Relationship Id="rId62" Type="http://schemas.openxmlformats.org/officeDocument/2006/relationships/hyperlink" Target="https://drive.google.com/open?id=1oznfJmnit4Eh70nt5bJl9LzQ7sCRJzk-" TargetMode="External"/><Relationship Id="rId83" Type="http://schemas.openxmlformats.org/officeDocument/2006/relationships/hyperlink" Target="https://drive.google.com/open?id=1i1vUcyKpVthcrDATTILlDQ1ZffrmckOF" TargetMode="External"/><Relationship Id="rId88" Type="http://schemas.openxmlformats.org/officeDocument/2006/relationships/hyperlink" Target="https://drive.google.com/open?id=1zXkR-2updFUGhm1Ms4NCkN0a3jgPlALs" TargetMode="External"/><Relationship Id="rId111" Type="http://schemas.openxmlformats.org/officeDocument/2006/relationships/hyperlink" Target="https://drive.google.com/open?id=11z7oibcrrzCZ-ZbmHECHB_sZEw6ZJQDo" TargetMode="External"/><Relationship Id="rId132" Type="http://schemas.openxmlformats.org/officeDocument/2006/relationships/hyperlink" Target="https://drive.google.com/open?id=1z64fF6IZA2qqjEc4mVv2Rg6J8RuZ76B9" TargetMode="External"/><Relationship Id="rId153" Type="http://schemas.openxmlformats.org/officeDocument/2006/relationships/hyperlink" Target="https://drive.google.com/open?id=1diQ9m3vBOmueAkeMvkUlQcJ-8rcWpUMb" TargetMode="External"/><Relationship Id="rId15" Type="http://schemas.openxmlformats.org/officeDocument/2006/relationships/hyperlink" Target="https://drive.google.com/open?id=1b5ljHMzjMwS3nZ5TgNfvXnKVaP6dLEyk" TargetMode="External"/><Relationship Id="rId36" Type="http://schemas.openxmlformats.org/officeDocument/2006/relationships/hyperlink" Target="https://drive.google.com/open?id=18G7jiEi4fs4Fva43E03f1NPLNQp2frY5" TargetMode="External"/><Relationship Id="rId57" Type="http://schemas.openxmlformats.org/officeDocument/2006/relationships/hyperlink" Target="https://drive.google.com/open?id=1fDPNf5tqC_ulqcL_OiuNpevLu7t8x4Ib" TargetMode="External"/><Relationship Id="rId106" Type="http://schemas.openxmlformats.org/officeDocument/2006/relationships/hyperlink" Target="https://drive.google.com/open?id=1tEAsWjXaBuWWuqH3szUfszcakRGQAEkB" TargetMode="External"/><Relationship Id="rId127" Type="http://schemas.openxmlformats.org/officeDocument/2006/relationships/hyperlink" Target="https://drive.google.com/open?id=18XIwqvFSZkgyGRzAELTgCiX4J5mcwmad" TargetMode="External"/><Relationship Id="rId10" Type="http://schemas.openxmlformats.org/officeDocument/2006/relationships/hyperlink" Target="https://drive.google.com/open?id=1U922O7rrrk8lE44J8PU1eTbFnCBQ_WSu" TargetMode="External"/><Relationship Id="rId31" Type="http://schemas.openxmlformats.org/officeDocument/2006/relationships/hyperlink" Target="https://drive.google.com/open?id=1cxDZiUDOuk2LQ5sfxtsf8nMYRq8xImBd" TargetMode="External"/><Relationship Id="rId52" Type="http://schemas.openxmlformats.org/officeDocument/2006/relationships/hyperlink" Target="https://drive.google.com/open?id=1MGB5ZNxzAPATFLQ5zRI3S5XnAkisWAsi" TargetMode="External"/><Relationship Id="rId73" Type="http://schemas.openxmlformats.org/officeDocument/2006/relationships/hyperlink" Target="https://drive.google.com/open?id=1yca-QFnGhBq4hLK3VqQvyYrX07GnvGp1" TargetMode="External"/><Relationship Id="rId78" Type="http://schemas.openxmlformats.org/officeDocument/2006/relationships/hyperlink" Target="https://drive.google.com/open?id=1BpQaP3Ldz8aeJfBgtburAopVV2ef4S4_" TargetMode="External"/><Relationship Id="rId94" Type="http://schemas.openxmlformats.org/officeDocument/2006/relationships/hyperlink" Target="https://drive.google.com/open?id=1nZLwbVOWKCoGSyPAqoBw_dBVyeCAiegS" TargetMode="External"/><Relationship Id="rId99" Type="http://schemas.openxmlformats.org/officeDocument/2006/relationships/hyperlink" Target="https://drive.google.com/open?id=1x-vaDnUU8Ql73uCyJQhCnYnr3cqoUor5" TargetMode="External"/><Relationship Id="rId101" Type="http://schemas.openxmlformats.org/officeDocument/2006/relationships/hyperlink" Target="https://drive.google.com/open?id=1XlYeOaA_0HbZzIgd1XA6Oi1IT7kVv19J" TargetMode="External"/><Relationship Id="rId122" Type="http://schemas.openxmlformats.org/officeDocument/2006/relationships/hyperlink" Target="https://drive.google.com/open?id=1uqM_cv5CfPLCaUWu4cfZUKiZkyNN9ppp" TargetMode="External"/><Relationship Id="rId143" Type="http://schemas.openxmlformats.org/officeDocument/2006/relationships/hyperlink" Target="https://drive.google.com/open?id=1IiJKIySYIWU30N6QL42Dy1I_CrbRWlOU" TargetMode="External"/><Relationship Id="rId148" Type="http://schemas.openxmlformats.org/officeDocument/2006/relationships/hyperlink" Target="https://drive.google.com/open?id=1nbTWxqTN-aHSmbpRq7jjJ1Jc7V24o-o5" TargetMode="External"/><Relationship Id="rId4" Type="http://schemas.openxmlformats.org/officeDocument/2006/relationships/hyperlink" Target="https://drive.google.com/open?id=17mC4JteHJej5ZOSWWl-hVeITQGkqOAxC" TargetMode="External"/><Relationship Id="rId9" Type="http://schemas.openxmlformats.org/officeDocument/2006/relationships/hyperlink" Target="https://drive.google.com/open?id=1Nl1tmnCwCpr3tISkM9u2eEPyjT6yrh_f" TargetMode="External"/><Relationship Id="rId26" Type="http://schemas.openxmlformats.org/officeDocument/2006/relationships/hyperlink" Target="https://drive.google.com/open?id=1aYnIYWYSEs730Q2WVdzbCeOUELBwznve" TargetMode="External"/><Relationship Id="rId47" Type="http://schemas.openxmlformats.org/officeDocument/2006/relationships/hyperlink" Target="https://drive.google.com/open?id=1mZJmge5hiILZbIZtpxkou9xgepHB8hRc" TargetMode="External"/><Relationship Id="rId68" Type="http://schemas.openxmlformats.org/officeDocument/2006/relationships/hyperlink" Target="https://drive.google.com/open?id=1ysDdtNTt5YI9a7A5I5qOk1ihRmxkwEQq" TargetMode="External"/><Relationship Id="rId89" Type="http://schemas.openxmlformats.org/officeDocument/2006/relationships/hyperlink" Target="https://drive.google.com/open?id=1XarX9rExSZnknhXHb24vRxHwgN-Ec2kp" TargetMode="External"/><Relationship Id="rId112" Type="http://schemas.openxmlformats.org/officeDocument/2006/relationships/hyperlink" Target="https://drive.google.com/open?id=1cA2DWQBXBYwYbi5X9pdCAHTU0lyX7084" TargetMode="External"/><Relationship Id="rId133" Type="http://schemas.openxmlformats.org/officeDocument/2006/relationships/hyperlink" Target="https://drive.google.com/open?id=179gD1QNE1nkzd7Ip0Jeyi6sIOU3NRTTd" TargetMode="External"/><Relationship Id="rId154" Type="http://schemas.openxmlformats.org/officeDocument/2006/relationships/hyperlink" Target="https://drive.google.com/open?id=1R-58PLLsaxImXTZWqNxoX8YvfDLEiVsA" TargetMode="External"/><Relationship Id="rId16" Type="http://schemas.openxmlformats.org/officeDocument/2006/relationships/hyperlink" Target="https://drive.google.com/open?id=1uLaQKtvROQ7x3fkmx7x5ruJjMZSZoOzl" TargetMode="External"/><Relationship Id="rId37" Type="http://schemas.openxmlformats.org/officeDocument/2006/relationships/hyperlink" Target="https://drive.google.com/open?id=1EWD8MmRKgmNou61m8u_ncUbjfSDv7HfM" TargetMode="External"/><Relationship Id="rId58" Type="http://schemas.openxmlformats.org/officeDocument/2006/relationships/hyperlink" Target="https://drive.google.com/open?id=1tGAhlndcRuXuXv3vVmd8Bamj57TzPkWZ" TargetMode="External"/><Relationship Id="rId79" Type="http://schemas.openxmlformats.org/officeDocument/2006/relationships/hyperlink" Target="https://drive.google.com/open?id=13BeakJOvbyhK2y58n7ZDHnv7Wz-2hSD4" TargetMode="External"/><Relationship Id="rId102" Type="http://schemas.openxmlformats.org/officeDocument/2006/relationships/hyperlink" Target="https://drive.google.com/open?id=1aWIbyvrJBTVgVC2KnKY_7kDxCg8d0QHT" TargetMode="External"/><Relationship Id="rId123" Type="http://schemas.openxmlformats.org/officeDocument/2006/relationships/hyperlink" Target="https://drive.google.com/open?id=1crcPemJlpj7unsI-PNrlwF-1Q0kABJjU" TargetMode="External"/><Relationship Id="rId144" Type="http://schemas.openxmlformats.org/officeDocument/2006/relationships/hyperlink" Target="https://drive.google.com/open?id=1vyyJ7PGEGJRVW3qmpC940Wfr_foZN3zF" TargetMode="External"/><Relationship Id="rId90" Type="http://schemas.openxmlformats.org/officeDocument/2006/relationships/hyperlink" Target="https://drive.google.com/open?id=1wnZhjlSsyMWXYjnd3Kkk4dpyr5y4YRh-" TargetMode="External"/><Relationship Id="rId27" Type="http://schemas.openxmlformats.org/officeDocument/2006/relationships/hyperlink" Target="https://drive.google.com/open?id=1lZ8R3sKXe5XClB1j5BIKx4PSveS4iY94" TargetMode="External"/><Relationship Id="rId48" Type="http://schemas.openxmlformats.org/officeDocument/2006/relationships/hyperlink" Target="https://drive.google.com/open?id=1AfSfaPNFC5UnMJuz1rgd_kHlFnbes1TL" TargetMode="External"/><Relationship Id="rId69" Type="http://schemas.openxmlformats.org/officeDocument/2006/relationships/hyperlink" Target="https://drive.google.com/open?id=1T7FJvzoiZQQU_zS9VCUo6lWJfxG5X-P6" TargetMode="External"/><Relationship Id="rId113" Type="http://schemas.openxmlformats.org/officeDocument/2006/relationships/hyperlink" Target="https://drive.google.com/open?id=1ZuwCPXEGzUZQS5N0OncSQmaZBghxGurf" TargetMode="External"/><Relationship Id="rId134" Type="http://schemas.openxmlformats.org/officeDocument/2006/relationships/hyperlink" Target="https://drive.google.com/open?id=1k-c74aYYHBteSsVPE9QCTyG_4g8PIvi8" TargetMode="External"/><Relationship Id="rId80" Type="http://schemas.openxmlformats.org/officeDocument/2006/relationships/hyperlink" Target="https://drive.google.com/open?id=1C9n_lvyEaqo5OCjYMx6zy4z42DRHdBHe" TargetMode="External"/><Relationship Id="rId155" Type="http://schemas.openxmlformats.org/officeDocument/2006/relationships/hyperlink" Target="https://drive.google.com/open?id=16QP9atmtYBuFhqSQvBlBEk0DWtoLD9k9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rmuYmU9Hu_uPm1xO7IeFpi5GaZBHax6n" TargetMode="External"/><Relationship Id="rId21" Type="http://schemas.openxmlformats.org/officeDocument/2006/relationships/hyperlink" Target="https://drive.google.com/open?id=1Gyd0FkkDMdghnB04mWafNjgGl8uxb4tW" TargetMode="External"/><Relationship Id="rId42" Type="http://schemas.openxmlformats.org/officeDocument/2006/relationships/hyperlink" Target="https://drive.google.com/open?id=1saQp3JyvxC1Q7rlXsfCE7tHD0PzgTZxb" TargetMode="External"/><Relationship Id="rId63" Type="http://schemas.openxmlformats.org/officeDocument/2006/relationships/hyperlink" Target="https://drive.google.com/open?id=1t8TxC-xHHTCQ7LLpy8Ie5qN1qaDE_SQz" TargetMode="External"/><Relationship Id="rId84" Type="http://schemas.openxmlformats.org/officeDocument/2006/relationships/hyperlink" Target="https://drive.google.com/open?id=1zAf8HACB3hQkDebVCM62YFWRkz9DBR6H" TargetMode="External"/><Relationship Id="rId138" Type="http://schemas.openxmlformats.org/officeDocument/2006/relationships/hyperlink" Target="https://drive.google.com/open?id=1azuH1Y31eXASsOLOq2MknqvwhR6UBmEV" TargetMode="External"/><Relationship Id="rId159" Type="http://schemas.openxmlformats.org/officeDocument/2006/relationships/hyperlink" Target="https://drive.google.com/open?id=1__aIX5vdBwhak4bgA7EuKIgLFAilItva" TargetMode="External"/><Relationship Id="rId107" Type="http://schemas.openxmlformats.org/officeDocument/2006/relationships/hyperlink" Target="https://drive.google.com/open?id=1hygWFPvyhoRx_kxg1bJsSjTwCNJavJn3" TargetMode="External"/><Relationship Id="rId11" Type="http://schemas.openxmlformats.org/officeDocument/2006/relationships/hyperlink" Target="https://drive.google.com/open?id=1sJZdjStFyr0MevmUYhf3RgNl6DUKppPV" TargetMode="External"/><Relationship Id="rId32" Type="http://schemas.openxmlformats.org/officeDocument/2006/relationships/hyperlink" Target="https://drive.google.com/open?id=1TL8kIRI-jjZwU2yzm-9lnsLywvPK2AeW" TargetMode="External"/><Relationship Id="rId53" Type="http://schemas.openxmlformats.org/officeDocument/2006/relationships/hyperlink" Target="https://drive.google.com/open?id=1yKj6L69oJyY0_kAD5cILzEYenPKsQY0z" TargetMode="External"/><Relationship Id="rId74" Type="http://schemas.openxmlformats.org/officeDocument/2006/relationships/hyperlink" Target="https://drive.google.com/open?id=113A66ndEcp7S1Frlxtm7mFajZObOZO8l" TargetMode="External"/><Relationship Id="rId128" Type="http://schemas.openxmlformats.org/officeDocument/2006/relationships/hyperlink" Target="https://drive.google.com/open?id=1DQpoV1UTQ7MtRlFg6gZ9z6Hkk170pBL5" TargetMode="External"/><Relationship Id="rId149" Type="http://schemas.openxmlformats.org/officeDocument/2006/relationships/hyperlink" Target="https://drive.google.com/open?id=1PRBMVVq7qkCGvJ6YUN4ikMaxu8t6kpDE" TargetMode="External"/><Relationship Id="rId5" Type="http://schemas.openxmlformats.org/officeDocument/2006/relationships/hyperlink" Target="https://drive.google.com/open?id=1HRg3e0FrX6FRYJR6wcCVfehWZLjESg3g" TargetMode="External"/><Relationship Id="rId95" Type="http://schemas.openxmlformats.org/officeDocument/2006/relationships/hyperlink" Target="https://drive.google.com/open?id=1LzoFXeWrpj2M6ViQeX5Rsp2nI8ccMAHB" TargetMode="External"/><Relationship Id="rId160" Type="http://schemas.openxmlformats.org/officeDocument/2006/relationships/hyperlink" Target="https://drive.google.com/open?id=1hbnz11YBXi5g1EIfz6Mh67BgnOcTBTEs" TargetMode="External"/><Relationship Id="rId22" Type="http://schemas.openxmlformats.org/officeDocument/2006/relationships/hyperlink" Target="https://drive.google.com/open?id=1Cc3HD8aYHP5PFCBUjji35LEbR1_Omkzo" TargetMode="External"/><Relationship Id="rId43" Type="http://schemas.openxmlformats.org/officeDocument/2006/relationships/hyperlink" Target="https://drive.google.com/open?id=1KQyoZN9WmqLB9bQULAD977hce13VMGmi" TargetMode="External"/><Relationship Id="rId64" Type="http://schemas.openxmlformats.org/officeDocument/2006/relationships/hyperlink" Target="https://drive.google.com/open?id=1MUHNCL5OU3SJqVYxOOsdNhVZmEk1zFnf" TargetMode="External"/><Relationship Id="rId118" Type="http://schemas.openxmlformats.org/officeDocument/2006/relationships/hyperlink" Target="https://drive.google.com/open?id=1-nAzfHZDoWLEVbTSRjbsEU4NXpIqVeIH" TargetMode="External"/><Relationship Id="rId139" Type="http://schemas.openxmlformats.org/officeDocument/2006/relationships/hyperlink" Target="https://drive.google.com/open?id=1J-7Le0ImTRApZW2GxR-acYNXn5isDJmI" TargetMode="External"/><Relationship Id="rId85" Type="http://schemas.openxmlformats.org/officeDocument/2006/relationships/hyperlink" Target="https://drive.google.com/open?id=1b3G_U523vcH7hfgNmABN_0nmKWNBNayK" TargetMode="External"/><Relationship Id="rId150" Type="http://schemas.openxmlformats.org/officeDocument/2006/relationships/hyperlink" Target="https://drive.google.com/open?id=1kyGkKvB_4BUtjziinsqjcQ2kPTYXyiIl" TargetMode="External"/><Relationship Id="rId12" Type="http://schemas.openxmlformats.org/officeDocument/2006/relationships/hyperlink" Target="https://drive.google.com/open?id=1BGLscvtpWVGC9Q_j_Dg9kRaFflSAG0Pz" TargetMode="External"/><Relationship Id="rId17" Type="http://schemas.openxmlformats.org/officeDocument/2006/relationships/hyperlink" Target="https://drive.google.com/open?id=1qq8OhzbCvCcsfG4au9_iYcSy_UQBfeXa" TargetMode="External"/><Relationship Id="rId33" Type="http://schemas.openxmlformats.org/officeDocument/2006/relationships/hyperlink" Target="https://drive.google.com/open?id=1srRlYAT9y7NBBA6cyPXeqA296CqnEUo5" TargetMode="External"/><Relationship Id="rId38" Type="http://schemas.openxmlformats.org/officeDocument/2006/relationships/hyperlink" Target="https://drive.google.com/open?id=1hgSOZGxTpBoCutPIqkWcz3JB-Bs13pDC" TargetMode="External"/><Relationship Id="rId59" Type="http://schemas.openxmlformats.org/officeDocument/2006/relationships/hyperlink" Target="https://drive.google.com/open?id=1pYILoUv4KEHB5q_expalO9of5toUX8Ih" TargetMode="External"/><Relationship Id="rId103" Type="http://schemas.openxmlformats.org/officeDocument/2006/relationships/hyperlink" Target="https://drive.google.com/open?id=1gzI6F-aLXiFLPaVGhFufrhu7o4lAhtty" TargetMode="External"/><Relationship Id="rId108" Type="http://schemas.openxmlformats.org/officeDocument/2006/relationships/hyperlink" Target="https://drive.google.com/open?id=1Z-0W8-plfvOtUyMgELxIxVwRfZ3kE0aZ" TargetMode="External"/><Relationship Id="rId124" Type="http://schemas.openxmlformats.org/officeDocument/2006/relationships/hyperlink" Target="https://drive.google.com/open?id=1eyJ_fz1UCY4_GtMIkC99e0TNyqR87Cvc" TargetMode="External"/><Relationship Id="rId129" Type="http://schemas.openxmlformats.org/officeDocument/2006/relationships/hyperlink" Target="https://drive.google.com/open?id=1I9TNKavbsNiN3fP6gcLm8RzoPFGc0VDb" TargetMode="External"/><Relationship Id="rId54" Type="http://schemas.openxmlformats.org/officeDocument/2006/relationships/hyperlink" Target="https://drive.google.com/open?id=1LG3deDfN-Mz2ITCZ1QEm1g7KRKQT922r" TargetMode="External"/><Relationship Id="rId70" Type="http://schemas.openxmlformats.org/officeDocument/2006/relationships/hyperlink" Target="https://drive.google.com/open?id=1cZ-hfpmLpriUihR0vzNfVm9Nfo58ZFkZ" TargetMode="External"/><Relationship Id="rId75" Type="http://schemas.openxmlformats.org/officeDocument/2006/relationships/hyperlink" Target="https://drive.google.com/open?id=1xaWnI3tyn6fUM6fna_5qSBndzobY9hu2" TargetMode="External"/><Relationship Id="rId91" Type="http://schemas.openxmlformats.org/officeDocument/2006/relationships/hyperlink" Target="https://drive.google.com/open?id=1hTP0CmEfwrUtdZkFTbVstbz_v03oklV1" TargetMode="External"/><Relationship Id="rId96" Type="http://schemas.openxmlformats.org/officeDocument/2006/relationships/hyperlink" Target="https://drive.google.com/open?id=1IbmdwE_lCSG3O_1lj2DPYDELYuR9cR4b" TargetMode="External"/><Relationship Id="rId140" Type="http://schemas.openxmlformats.org/officeDocument/2006/relationships/hyperlink" Target="https://drive.google.com/open?id=13xT1fR4MxT3Qx2gWYxnUYZzg2yTdv6M3" TargetMode="External"/><Relationship Id="rId145" Type="http://schemas.openxmlformats.org/officeDocument/2006/relationships/hyperlink" Target="https://drive.google.com/open?id=1YIS38r_vI0PFicgHQviuuexhzhqFg1sP" TargetMode="External"/><Relationship Id="rId161" Type="http://schemas.openxmlformats.org/officeDocument/2006/relationships/hyperlink" Target="https://drive.google.com/open?id=1JZgRRpPTHbdVOz1ZoG71ESfFm0xSpn_L" TargetMode="External"/><Relationship Id="rId1" Type="http://schemas.openxmlformats.org/officeDocument/2006/relationships/hyperlink" Target="https://drive.google.com/open?id=1AIVzemuGUNnX0w2-MclkGOZiHj5HB616" TargetMode="External"/><Relationship Id="rId6" Type="http://schemas.openxmlformats.org/officeDocument/2006/relationships/hyperlink" Target="https://drive.google.com/open?id=1nC8fLMNwpTLCWF28rJYUN75D15P6SxFI" TargetMode="External"/><Relationship Id="rId23" Type="http://schemas.openxmlformats.org/officeDocument/2006/relationships/hyperlink" Target="https://drive.google.com/open?id=1sm7ry2d6QGmhIGMA4Riij8Lx42boLNnr" TargetMode="External"/><Relationship Id="rId28" Type="http://schemas.openxmlformats.org/officeDocument/2006/relationships/hyperlink" Target="https://drive.google.com/open?id=1r1WGJDeiGs0Au86L4TqpLQdlPjm2PlhS" TargetMode="External"/><Relationship Id="rId49" Type="http://schemas.openxmlformats.org/officeDocument/2006/relationships/hyperlink" Target="https://drive.google.com/open?id=14XVrQa1b5ulL-1GJWYACgzMLINOpgaTZ" TargetMode="External"/><Relationship Id="rId114" Type="http://schemas.openxmlformats.org/officeDocument/2006/relationships/hyperlink" Target="https://drive.google.com/open?id=1X90MEa4pgm40hurWxQhcFkedqi1npuhr" TargetMode="External"/><Relationship Id="rId119" Type="http://schemas.openxmlformats.org/officeDocument/2006/relationships/hyperlink" Target="https://drive.google.com/open?id=1u7mH54wQ-GW6Vrs_KKjbR2EDcqZm9L23" TargetMode="External"/><Relationship Id="rId44" Type="http://schemas.openxmlformats.org/officeDocument/2006/relationships/hyperlink" Target="https://drive.google.com/open?id=1P1rg6dBtOrhjmuc4eKqpkXZazyNwj9iv" TargetMode="External"/><Relationship Id="rId60" Type="http://schemas.openxmlformats.org/officeDocument/2006/relationships/hyperlink" Target="https://drive.google.com/open?id=1Iajo4XMvzOP05zdjn0pJpYP6NpR0Ns6I" TargetMode="External"/><Relationship Id="rId65" Type="http://schemas.openxmlformats.org/officeDocument/2006/relationships/hyperlink" Target="https://drive.google.com/open?id=1fxz3tyQW6QttJ08u8dRrcHHm81P4jH1W" TargetMode="External"/><Relationship Id="rId81" Type="http://schemas.openxmlformats.org/officeDocument/2006/relationships/hyperlink" Target="https://drive.google.com/open?id=1OHVb6kMFU4ePF-rAtVmcwWsl4SyB6tJf" TargetMode="External"/><Relationship Id="rId86" Type="http://schemas.openxmlformats.org/officeDocument/2006/relationships/hyperlink" Target="https://drive.google.com/open?id=1HOW3N9pti8LJ8frMp1wybPjd5fafi8vc" TargetMode="External"/><Relationship Id="rId130" Type="http://schemas.openxmlformats.org/officeDocument/2006/relationships/hyperlink" Target="https://drive.google.com/open?id=1JqlsvXQ9Kj3QXVWKiLswIzAFFvVxDkoe" TargetMode="External"/><Relationship Id="rId135" Type="http://schemas.openxmlformats.org/officeDocument/2006/relationships/hyperlink" Target="https://drive.google.com/open?id=1sbhfspJ1oxjYNxC8JYeNulpzqZtCc96h" TargetMode="External"/><Relationship Id="rId151" Type="http://schemas.openxmlformats.org/officeDocument/2006/relationships/hyperlink" Target="https://drive.google.com/open?id=1On3g703iUg4PiF85efZmoF2-ZASmP06d" TargetMode="External"/><Relationship Id="rId156" Type="http://schemas.openxmlformats.org/officeDocument/2006/relationships/hyperlink" Target="https://drive.google.com/open?id=1FL0yvFxZSsO7GvY6VOY7s74WJjvP5jaS" TargetMode="External"/><Relationship Id="rId13" Type="http://schemas.openxmlformats.org/officeDocument/2006/relationships/hyperlink" Target="https://drive.google.com/open?id=1UhpB2wVSHDdsltoyZFDECIki4EyNLu4f" TargetMode="External"/><Relationship Id="rId18" Type="http://schemas.openxmlformats.org/officeDocument/2006/relationships/hyperlink" Target="https://drive.google.com/open?id=1ntNdkF2fovJ_jHEnmbgurSEuqAvMh3Pm" TargetMode="External"/><Relationship Id="rId39" Type="http://schemas.openxmlformats.org/officeDocument/2006/relationships/hyperlink" Target="https://drive.google.com/open?id=1oTzl6ykcTzlUGL1bhyDlEJotZ9CLVbTU" TargetMode="External"/><Relationship Id="rId109" Type="http://schemas.openxmlformats.org/officeDocument/2006/relationships/hyperlink" Target="https://drive.google.com/open?id=1BsEi3TYUlBH_VY7FmKJVB2BBe3ZFyO3U" TargetMode="External"/><Relationship Id="rId34" Type="http://schemas.openxmlformats.org/officeDocument/2006/relationships/hyperlink" Target="https://drive.google.com/open?id=1Wrbs6tZk5dcbvP607WIJtE8_0FTw2m2l" TargetMode="External"/><Relationship Id="rId50" Type="http://schemas.openxmlformats.org/officeDocument/2006/relationships/hyperlink" Target="https://drive.google.com/open?id=1OmcTq8nkpH6hd__M1k9UEblw50gGBZOO" TargetMode="External"/><Relationship Id="rId55" Type="http://schemas.openxmlformats.org/officeDocument/2006/relationships/hyperlink" Target="https://drive.google.com/open?id=1JVwgQzEi1KMDwkJBSkEhVg0cvbpoh2aA" TargetMode="External"/><Relationship Id="rId76" Type="http://schemas.openxmlformats.org/officeDocument/2006/relationships/hyperlink" Target="https://drive.google.com/open?id=1yGjb_6tyHI6oXiDgtIfeyeTcPujxdcBL" TargetMode="External"/><Relationship Id="rId97" Type="http://schemas.openxmlformats.org/officeDocument/2006/relationships/hyperlink" Target="https://drive.google.com/open?id=1LXTlvyLt4zAWH-_Eh9eKJrUb4abRxDn2" TargetMode="External"/><Relationship Id="rId104" Type="http://schemas.openxmlformats.org/officeDocument/2006/relationships/hyperlink" Target="https://drive.google.com/open?id=1yijBvusVoWQ_lKrQnaeH2-ZQc-l6DRRw" TargetMode="External"/><Relationship Id="rId120" Type="http://schemas.openxmlformats.org/officeDocument/2006/relationships/hyperlink" Target="https://drive.google.com/open?id=13zCU2ARYOOyLXTOAdW25wVBbBhgT6Pgt" TargetMode="External"/><Relationship Id="rId125" Type="http://schemas.openxmlformats.org/officeDocument/2006/relationships/hyperlink" Target="https://drive.google.com/open?id=15oQGH4xFis3w02psnF7vTGwx0f41QOpN" TargetMode="External"/><Relationship Id="rId141" Type="http://schemas.openxmlformats.org/officeDocument/2006/relationships/hyperlink" Target="https://drive.google.com/open?id=1r4Wcz-gWztD4cCDaxBH1bTCxincDO1Cn" TargetMode="External"/><Relationship Id="rId146" Type="http://schemas.openxmlformats.org/officeDocument/2006/relationships/hyperlink" Target="https://drive.google.com/open?id=1qr6r4CKfkHDn74jI-OwFtMoi1OTsbKbE" TargetMode="External"/><Relationship Id="rId7" Type="http://schemas.openxmlformats.org/officeDocument/2006/relationships/hyperlink" Target="https://drive.google.com/open?id=1PlCe09HLGv1fNJ6j5xSx1Ee5Oh-Vcsa5" TargetMode="External"/><Relationship Id="rId71" Type="http://schemas.openxmlformats.org/officeDocument/2006/relationships/hyperlink" Target="https://drive.google.com/open?id=1vby1zZC-8UxK_PfrbJOIjOVEg0PD4oJv" TargetMode="External"/><Relationship Id="rId92" Type="http://schemas.openxmlformats.org/officeDocument/2006/relationships/hyperlink" Target="https://drive.google.com/open?id=1XzpFZeqyIuUyQKuhvIF4DFQNxo-EXVj9" TargetMode="External"/><Relationship Id="rId162" Type="http://schemas.openxmlformats.org/officeDocument/2006/relationships/hyperlink" Target="https://drive.google.com/open?id=1yXB0KCdLFtQHth-ApsbWhsVyAkQu9o9E" TargetMode="External"/><Relationship Id="rId2" Type="http://schemas.openxmlformats.org/officeDocument/2006/relationships/hyperlink" Target="https://drive.google.com/open?id=1LI5OwaswJqQWkdvYFYo9U-K_K9kW8Z7P" TargetMode="External"/><Relationship Id="rId29" Type="http://schemas.openxmlformats.org/officeDocument/2006/relationships/hyperlink" Target="https://drive.google.com/open?id=13TgqsONgirCRCJ4kS5rG29-60bj9tqhm" TargetMode="External"/><Relationship Id="rId24" Type="http://schemas.openxmlformats.org/officeDocument/2006/relationships/hyperlink" Target="https://drive.google.com/open?id=1DXxK7otp-tFswoCMk9ga7g374BgjSnlT" TargetMode="External"/><Relationship Id="rId40" Type="http://schemas.openxmlformats.org/officeDocument/2006/relationships/hyperlink" Target="https://drive.google.com/open?id=1YFHh-vmRn_dwWRb_xI1K5mTBYB7CzldW" TargetMode="External"/><Relationship Id="rId45" Type="http://schemas.openxmlformats.org/officeDocument/2006/relationships/hyperlink" Target="https://drive.google.com/open?id=168hu_5Mu-Ge134Gpn-sZTAJqFKPaL0Vl" TargetMode="External"/><Relationship Id="rId66" Type="http://schemas.openxmlformats.org/officeDocument/2006/relationships/hyperlink" Target="https://drive.google.com/open?id=1wSiNV0dEdtm3PwD8TXve-CV7uBXb5Xj2" TargetMode="External"/><Relationship Id="rId87" Type="http://schemas.openxmlformats.org/officeDocument/2006/relationships/hyperlink" Target="https://drive.google.com/open?id=1UL-Ues64mUFjPPBV3aAJQB6I1dlaO7CY" TargetMode="External"/><Relationship Id="rId110" Type="http://schemas.openxmlformats.org/officeDocument/2006/relationships/hyperlink" Target="https://drive.google.com/open?id=11RD3VTx5IuLZx2mjyj-IGQmF0gc-Xqdm" TargetMode="External"/><Relationship Id="rId115" Type="http://schemas.openxmlformats.org/officeDocument/2006/relationships/hyperlink" Target="https://drive.google.com/open?id=1QfLnGwGQq9tw0oyoFOlk4PbwA8C5D07A" TargetMode="External"/><Relationship Id="rId131" Type="http://schemas.openxmlformats.org/officeDocument/2006/relationships/hyperlink" Target="https://drive.google.com/open?id=1NBu-1Hrrlibzd45OG1ldrGWUDQVFGW-u" TargetMode="External"/><Relationship Id="rId136" Type="http://schemas.openxmlformats.org/officeDocument/2006/relationships/hyperlink" Target="https://drive.google.com/open?id=1sY4cpGMiGclZcgo-uULlxzSnf9YrmntY" TargetMode="External"/><Relationship Id="rId157" Type="http://schemas.openxmlformats.org/officeDocument/2006/relationships/hyperlink" Target="https://drive.google.com/open?id=10fbbloQj-Ax3tjFki7w2n026a0SbosA1" TargetMode="External"/><Relationship Id="rId61" Type="http://schemas.openxmlformats.org/officeDocument/2006/relationships/hyperlink" Target="https://drive.google.com/open?id=1iCk41EdHrEww9lsCdFIL_h2QAkKDsJdZ" TargetMode="External"/><Relationship Id="rId82" Type="http://schemas.openxmlformats.org/officeDocument/2006/relationships/hyperlink" Target="https://drive.google.com/open?id=10Hyy_o-l-Czcvw6L_nnhyWxHnt7XhaxZ" TargetMode="External"/><Relationship Id="rId152" Type="http://schemas.openxmlformats.org/officeDocument/2006/relationships/hyperlink" Target="https://drive.google.com/open?id=13iO1cB5GN400nNbpre7O4N3GLVXAF-Z2" TargetMode="External"/><Relationship Id="rId19" Type="http://schemas.openxmlformats.org/officeDocument/2006/relationships/hyperlink" Target="https://drive.google.com/open?id=1BN9BqwC2Fx2yUAd8hyR5glTrb7AKq9OT" TargetMode="External"/><Relationship Id="rId14" Type="http://schemas.openxmlformats.org/officeDocument/2006/relationships/hyperlink" Target="https://drive.google.com/open?id=1rU7cHcDlCR0DVUtLnYwoLwLd_eW__Snx" TargetMode="External"/><Relationship Id="rId30" Type="http://schemas.openxmlformats.org/officeDocument/2006/relationships/hyperlink" Target="https://drive.google.com/open?id=17llLcndaE4vzOZYIrd0QEhmMNumu3zRy" TargetMode="External"/><Relationship Id="rId35" Type="http://schemas.openxmlformats.org/officeDocument/2006/relationships/hyperlink" Target="https://drive.google.com/open?id=1t9jfpmdNgdQ1Hr5Lhj-1JILHkK8gly94" TargetMode="External"/><Relationship Id="rId56" Type="http://schemas.openxmlformats.org/officeDocument/2006/relationships/hyperlink" Target="https://drive.google.com/open?id=1nLTGQGPIcNSBnTeqpaFCjKpRlnmvfJ9_" TargetMode="External"/><Relationship Id="rId77" Type="http://schemas.openxmlformats.org/officeDocument/2006/relationships/hyperlink" Target="https://drive.google.com/open?id=1H7e6RdeI4edULu9JsTCLbwPMJ0HBcifJ" TargetMode="External"/><Relationship Id="rId100" Type="http://schemas.openxmlformats.org/officeDocument/2006/relationships/hyperlink" Target="https://drive.google.com/open?id=1asGKYcnxxB60kyp4c4pld-YgV6j-coKE" TargetMode="External"/><Relationship Id="rId105" Type="http://schemas.openxmlformats.org/officeDocument/2006/relationships/hyperlink" Target="https://drive.google.com/open?id=1P8IP2jgDwsa-3bvJEqJxXE0KLo0HkZhD" TargetMode="External"/><Relationship Id="rId126" Type="http://schemas.openxmlformats.org/officeDocument/2006/relationships/hyperlink" Target="https://drive.google.com/open?id=1jNXuyPUsntobU45_LsDzgTlPlCgDIlfX" TargetMode="External"/><Relationship Id="rId147" Type="http://schemas.openxmlformats.org/officeDocument/2006/relationships/hyperlink" Target="https://drive.google.com/open?id=1ivlUc2E3NmcP2A3suPDt_SDXHQaI3EMx" TargetMode="External"/><Relationship Id="rId8" Type="http://schemas.openxmlformats.org/officeDocument/2006/relationships/hyperlink" Target="https://drive.google.com/open?id=1IbKuXxSVeCeyYStGG9XyXm2V3CcF2909" TargetMode="External"/><Relationship Id="rId51" Type="http://schemas.openxmlformats.org/officeDocument/2006/relationships/hyperlink" Target="https://drive.google.com/open?id=1dtnlKl-qaqgClJzXzDAASiKfrFEgNUCu" TargetMode="External"/><Relationship Id="rId72" Type="http://schemas.openxmlformats.org/officeDocument/2006/relationships/hyperlink" Target="https://drive.google.com/open?id=12ktarbDbU9j0HsGwH9co5gVGWh5o9eYS" TargetMode="External"/><Relationship Id="rId93" Type="http://schemas.openxmlformats.org/officeDocument/2006/relationships/hyperlink" Target="https://drive.google.com/open?id=1dJq-FuYMvMZxaDr1xB6DNn3ZlJN4clT0" TargetMode="External"/><Relationship Id="rId98" Type="http://schemas.openxmlformats.org/officeDocument/2006/relationships/hyperlink" Target="https://drive.google.com/open?id=1njLWzGbfJ6A1PzkMlWLuql9cKQy9FK0r" TargetMode="External"/><Relationship Id="rId121" Type="http://schemas.openxmlformats.org/officeDocument/2006/relationships/hyperlink" Target="https://drive.google.com/open?id=1AiEI3bDfAbm9cOHHYlk1Xaw9KQuP726j" TargetMode="External"/><Relationship Id="rId142" Type="http://schemas.openxmlformats.org/officeDocument/2006/relationships/hyperlink" Target="https://drive.google.com/open?id=1zamDEFvNXi4Z_Fr6ov6pCy8QG_oDSh2-" TargetMode="External"/><Relationship Id="rId163" Type="http://schemas.openxmlformats.org/officeDocument/2006/relationships/table" Target="../tables/table2.xml"/><Relationship Id="rId3" Type="http://schemas.openxmlformats.org/officeDocument/2006/relationships/hyperlink" Target="https://drive.google.com/open?id=1d8Q1K9QYDOWGLQOBwEj6uzFf_KKeSF0v" TargetMode="External"/><Relationship Id="rId25" Type="http://schemas.openxmlformats.org/officeDocument/2006/relationships/hyperlink" Target="https://drive.google.com/open?id=1jxSDmQgZTYwYb5ugBgh-cYfpTeGXzoa_" TargetMode="External"/><Relationship Id="rId46" Type="http://schemas.openxmlformats.org/officeDocument/2006/relationships/hyperlink" Target="https://drive.google.com/open?id=1IPP0Irvza3IZBIKDL8hTLppj_XX-eFaf" TargetMode="External"/><Relationship Id="rId67" Type="http://schemas.openxmlformats.org/officeDocument/2006/relationships/hyperlink" Target="https://drive.google.com/open?id=1Wg8TEM5ptaZpd8OF85DLnpBXbnRlgO8N" TargetMode="External"/><Relationship Id="rId116" Type="http://schemas.openxmlformats.org/officeDocument/2006/relationships/hyperlink" Target="https://drive.google.com/open?id=1Fr-5rKEOYeX_LmLaSk4I1j_w6BO-Sq4K" TargetMode="External"/><Relationship Id="rId137" Type="http://schemas.openxmlformats.org/officeDocument/2006/relationships/hyperlink" Target="https://drive.google.com/open?id=1h6ByaE7VDxy6EQJhhFqCo-197FQuQVT8" TargetMode="External"/><Relationship Id="rId158" Type="http://schemas.openxmlformats.org/officeDocument/2006/relationships/hyperlink" Target="https://drive.google.com/open?id=1Mpql7QpT8C-QiI5g7EMh6ovZCdqDpxDe" TargetMode="External"/><Relationship Id="rId20" Type="http://schemas.openxmlformats.org/officeDocument/2006/relationships/hyperlink" Target="https://drive.google.com/open?id=1iVYejZygWqL5K3_EVDrSO9d-X97FJoD5" TargetMode="External"/><Relationship Id="rId41" Type="http://schemas.openxmlformats.org/officeDocument/2006/relationships/hyperlink" Target="https://drive.google.com/open?id=1yAFnaky1tjehKj71iyOpnqGZoT5sLupC" TargetMode="External"/><Relationship Id="rId62" Type="http://schemas.openxmlformats.org/officeDocument/2006/relationships/hyperlink" Target="https://drive.google.com/open?id=1oznfJmnit4Eh70nt5bJl9LzQ7sCRJzk-" TargetMode="External"/><Relationship Id="rId83" Type="http://schemas.openxmlformats.org/officeDocument/2006/relationships/hyperlink" Target="https://drive.google.com/open?id=1i1vUcyKpVthcrDATTILlDQ1ZffrmckOF" TargetMode="External"/><Relationship Id="rId88" Type="http://schemas.openxmlformats.org/officeDocument/2006/relationships/hyperlink" Target="https://drive.google.com/open?id=1zXkR-2updFUGhm1Ms4NCkN0a3jgPlALs" TargetMode="External"/><Relationship Id="rId111" Type="http://schemas.openxmlformats.org/officeDocument/2006/relationships/hyperlink" Target="https://drive.google.com/open?id=11z7oibcrrzCZ-ZbmHECHB_sZEw6ZJQDo" TargetMode="External"/><Relationship Id="rId132" Type="http://schemas.openxmlformats.org/officeDocument/2006/relationships/hyperlink" Target="https://drive.google.com/open?id=1z64fF6IZA2qqjEc4mVv2Rg6J8RuZ76B9" TargetMode="External"/><Relationship Id="rId153" Type="http://schemas.openxmlformats.org/officeDocument/2006/relationships/hyperlink" Target="https://drive.google.com/open?id=1diQ9m3vBOmueAkeMvkUlQcJ-8rcWpUMb" TargetMode="External"/><Relationship Id="rId15" Type="http://schemas.openxmlformats.org/officeDocument/2006/relationships/hyperlink" Target="https://drive.google.com/open?id=1b5ljHMzjMwS3nZ5TgNfvXnKVaP6dLEyk" TargetMode="External"/><Relationship Id="rId36" Type="http://schemas.openxmlformats.org/officeDocument/2006/relationships/hyperlink" Target="https://drive.google.com/open?id=18G7jiEi4fs4Fva43E03f1NPLNQp2frY5" TargetMode="External"/><Relationship Id="rId57" Type="http://schemas.openxmlformats.org/officeDocument/2006/relationships/hyperlink" Target="https://drive.google.com/open?id=1fDPNf5tqC_ulqcL_OiuNpevLu7t8x4Ib" TargetMode="External"/><Relationship Id="rId106" Type="http://schemas.openxmlformats.org/officeDocument/2006/relationships/hyperlink" Target="https://drive.google.com/open?id=1tEAsWjXaBuWWuqH3szUfszcakRGQAEkB" TargetMode="External"/><Relationship Id="rId127" Type="http://schemas.openxmlformats.org/officeDocument/2006/relationships/hyperlink" Target="https://drive.google.com/open?id=18XIwqvFSZkgyGRzAELTgCiX4J5mcwmad" TargetMode="External"/><Relationship Id="rId10" Type="http://schemas.openxmlformats.org/officeDocument/2006/relationships/hyperlink" Target="https://drive.google.com/open?id=1U922O7rrrk8lE44J8PU1eTbFnCBQ_WSu" TargetMode="External"/><Relationship Id="rId31" Type="http://schemas.openxmlformats.org/officeDocument/2006/relationships/hyperlink" Target="https://drive.google.com/open?id=1cxDZiUDOuk2LQ5sfxtsf8nMYRq8xImBd" TargetMode="External"/><Relationship Id="rId52" Type="http://schemas.openxmlformats.org/officeDocument/2006/relationships/hyperlink" Target="https://drive.google.com/open?id=1MGB5ZNxzAPATFLQ5zRI3S5XnAkisWAsi" TargetMode="External"/><Relationship Id="rId73" Type="http://schemas.openxmlformats.org/officeDocument/2006/relationships/hyperlink" Target="https://drive.google.com/open?id=1yca-QFnGhBq4hLK3VqQvyYrX07GnvGp1" TargetMode="External"/><Relationship Id="rId78" Type="http://schemas.openxmlformats.org/officeDocument/2006/relationships/hyperlink" Target="https://drive.google.com/open?id=1BpQaP3Ldz8aeJfBgtburAopVV2ef4S4_" TargetMode="External"/><Relationship Id="rId94" Type="http://schemas.openxmlformats.org/officeDocument/2006/relationships/hyperlink" Target="https://drive.google.com/open?id=1nZLwbVOWKCoGSyPAqoBw_dBVyeCAiegS" TargetMode="External"/><Relationship Id="rId99" Type="http://schemas.openxmlformats.org/officeDocument/2006/relationships/hyperlink" Target="https://drive.google.com/open?id=1x-vaDnUU8Ql73uCyJQhCnYnr3cqoUor5" TargetMode="External"/><Relationship Id="rId101" Type="http://schemas.openxmlformats.org/officeDocument/2006/relationships/hyperlink" Target="https://drive.google.com/open?id=1XlYeOaA_0HbZzIgd1XA6Oi1IT7kVv19J" TargetMode="External"/><Relationship Id="rId122" Type="http://schemas.openxmlformats.org/officeDocument/2006/relationships/hyperlink" Target="https://drive.google.com/open?id=1uqM_cv5CfPLCaUWu4cfZUKiZkyNN9ppp" TargetMode="External"/><Relationship Id="rId143" Type="http://schemas.openxmlformats.org/officeDocument/2006/relationships/hyperlink" Target="https://drive.google.com/open?id=1IiJKIySYIWU30N6QL42Dy1I_CrbRWlOU" TargetMode="External"/><Relationship Id="rId148" Type="http://schemas.openxmlformats.org/officeDocument/2006/relationships/hyperlink" Target="https://drive.google.com/open?id=1nbTWxqTN-aHSmbpRq7jjJ1Jc7V24o-o5" TargetMode="External"/><Relationship Id="rId4" Type="http://schemas.openxmlformats.org/officeDocument/2006/relationships/hyperlink" Target="https://drive.google.com/open?id=17mC4JteHJej5ZOSWWl-hVeITQGkqOAxC" TargetMode="External"/><Relationship Id="rId9" Type="http://schemas.openxmlformats.org/officeDocument/2006/relationships/hyperlink" Target="https://drive.google.com/open?id=1Nl1tmnCwCpr3tISkM9u2eEPyjT6yrh_f" TargetMode="External"/><Relationship Id="rId26" Type="http://schemas.openxmlformats.org/officeDocument/2006/relationships/hyperlink" Target="https://drive.google.com/open?id=1aYnIYWYSEs730Q2WVdzbCeOUELBwznve" TargetMode="External"/><Relationship Id="rId47" Type="http://schemas.openxmlformats.org/officeDocument/2006/relationships/hyperlink" Target="https://drive.google.com/open?id=1mZJmge5hiILZbIZtpxkou9xgepHB8hRc" TargetMode="External"/><Relationship Id="rId68" Type="http://schemas.openxmlformats.org/officeDocument/2006/relationships/hyperlink" Target="https://drive.google.com/open?id=1ysDdtNTt5YI9a7A5I5qOk1ihRmxkwEQq" TargetMode="External"/><Relationship Id="rId89" Type="http://schemas.openxmlformats.org/officeDocument/2006/relationships/hyperlink" Target="https://drive.google.com/open?id=1XarX9rExSZnknhXHb24vRxHwgN-Ec2kp" TargetMode="External"/><Relationship Id="rId112" Type="http://schemas.openxmlformats.org/officeDocument/2006/relationships/hyperlink" Target="https://drive.google.com/open?id=1cA2DWQBXBYwYbi5X9pdCAHTU0lyX7084" TargetMode="External"/><Relationship Id="rId133" Type="http://schemas.openxmlformats.org/officeDocument/2006/relationships/hyperlink" Target="https://drive.google.com/open?id=179gD1QNE1nkzd7Ip0Jeyi6sIOU3NRTTd" TargetMode="External"/><Relationship Id="rId154" Type="http://schemas.openxmlformats.org/officeDocument/2006/relationships/hyperlink" Target="https://drive.google.com/open?id=1R-58PLLsaxImXTZWqNxoX8YvfDLEiVsA" TargetMode="External"/><Relationship Id="rId16" Type="http://schemas.openxmlformats.org/officeDocument/2006/relationships/hyperlink" Target="https://drive.google.com/open?id=1uLaQKtvROQ7x3fkmx7x5ruJjMZSZoOzl" TargetMode="External"/><Relationship Id="rId37" Type="http://schemas.openxmlformats.org/officeDocument/2006/relationships/hyperlink" Target="https://drive.google.com/open?id=1EWD8MmRKgmNou61m8u_ncUbjfSDv7HfM" TargetMode="External"/><Relationship Id="rId58" Type="http://schemas.openxmlformats.org/officeDocument/2006/relationships/hyperlink" Target="https://drive.google.com/open?id=1tGAhlndcRuXuXv3vVmd8Bamj57TzPkWZ" TargetMode="External"/><Relationship Id="rId79" Type="http://schemas.openxmlformats.org/officeDocument/2006/relationships/hyperlink" Target="https://drive.google.com/open?id=13BeakJOvbyhK2y58n7ZDHnv7Wz-2hSD4" TargetMode="External"/><Relationship Id="rId102" Type="http://schemas.openxmlformats.org/officeDocument/2006/relationships/hyperlink" Target="https://drive.google.com/open?id=1aWIbyvrJBTVgVC2KnKY_7kDxCg8d0QHT" TargetMode="External"/><Relationship Id="rId123" Type="http://schemas.openxmlformats.org/officeDocument/2006/relationships/hyperlink" Target="https://drive.google.com/open?id=1crcPemJlpj7unsI-PNrlwF-1Q0kABJjU" TargetMode="External"/><Relationship Id="rId144" Type="http://schemas.openxmlformats.org/officeDocument/2006/relationships/hyperlink" Target="https://drive.google.com/open?id=1vyyJ7PGEGJRVW3qmpC940Wfr_foZN3zF" TargetMode="External"/><Relationship Id="rId90" Type="http://schemas.openxmlformats.org/officeDocument/2006/relationships/hyperlink" Target="https://drive.google.com/open?id=1wnZhjlSsyMWXYjnd3Kkk4dpyr5y4YRh-" TargetMode="External"/><Relationship Id="rId27" Type="http://schemas.openxmlformats.org/officeDocument/2006/relationships/hyperlink" Target="https://drive.google.com/open?id=1lZ8R3sKXe5XClB1j5BIKx4PSveS4iY94" TargetMode="External"/><Relationship Id="rId48" Type="http://schemas.openxmlformats.org/officeDocument/2006/relationships/hyperlink" Target="https://drive.google.com/open?id=1AfSfaPNFC5UnMJuz1rgd_kHlFnbes1TL" TargetMode="External"/><Relationship Id="rId69" Type="http://schemas.openxmlformats.org/officeDocument/2006/relationships/hyperlink" Target="https://drive.google.com/open?id=1T7FJvzoiZQQU_zS9VCUo6lWJfxG5X-P6" TargetMode="External"/><Relationship Id="rId113" Type="http://schemas.openxmlformats.org/officeDocument/2006/relationships/hyperlink" Target="https://drive.google.com/open?id=1ZuwCPXEGzUZQS5N0OncSQmaZBghxGurf" TargetMode="External"/><Relationship Id="rId134" Type="http://schemas.openxmlformats.org/officeDocument/2006/relationships/hyperlink" Target="https://drive.google.com/open?id=1k-c74aYYHBteSsVPE9QCTyG_4g8PIvi8" TargetMode="External"/><Relationship Id="rId80" Type="http://schemas.openxmlformats.org/officeDocument/2006/relationships/hyperlink" Target="https://drive.google.com/open?id=1C9n_lvyEaqo5OCjYMx6zy4z42DRHdBHe" TargetMode="External"/><Relationship Id="rId155" Type="http://schemas.openxmlformats.org/officeDocument/2006/relationships/hyperlink" Target="https://drive.google.com/open?id=16QP9atmtYBuFhqSQvBlBEk0DWtoLD9k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26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7" customWidth="1"/>
    <col min="2" max="2" width="27.44140625" customWidth="1"/>
    <col min="3" max="3" width="19.6640625" customWidth="1"/>
    <col min="4" max="4" width="27.44140625" customWidth="1"/>
    <col min="5" max="5" width="39.44140625" customWidth="1"/>
    <col min="6" max="6" width="17.77734375" customWidth="1"/>
    <col min="7" max="7" width="38.21875" customWidth="1"/>
    <col min="8" max="8" width="12.33203125" customWidth="1"/>
    <col min="9" max="9" width="53.21875" customWidth="1"/>
    <col min="10" max="10" width="58" customWidth="1"/>
    <col min="11" max="11" width="61.77734375" customWidth="1"/>
    <col min="12" max="12" width="17.88671875" customWidth="1"/>
    <col min="13" max="18" width="18.88671875" customWidth="1"/>
  </cols>
  <sheetData>
    <row r="1" spans="1:18" ht="22.5" customHeight="1" x14ac:dyDescent="0.25">
      <c r="A1" s="11" t="s">
        <v>3</v>
      </c>
      <c r="B1" s="11" t="s">
        <v>7</v>
      </c>
      <c r="C1" s="11" t="s">
        <v>10</v>
      </c>
      <c r="D1" s="11" t="s">
        <v>12</v>
      </c>
      <c r="E1" s="11" t="s">
        <v>13</v>
      </c>
      <c r="F1" s="11" t="s">
        <v>9</v>
      </c>
      <c r="G1" s="11" t="s">
        <v>15</v>
      </c>
      <c r="H1" s="11" t="s">
        <v>11</v>
      </c>
      <c r="I1" s="11" t="s">
        <v>16</v>
      </c>
      <c r="J1" s="11" t="s">
        <v>18</v>
      </c>
      <c r="K1" s="11" t="s">
        <v>20</v>
      </c>
      <c r="L1" s="11" t="s">
        <v>23</v>
      </c>
      <c r="M1" s="27"/>
      <c r="N1" s="27"/>
      <c r="O1" s="27"/>
      <c r="P1" s="27"/>
      <c r="Q1" s="27"/>
      <c r="R1" s="27"/>
    </row>
    <row r="2" spans="1:18" ht="22.5" customHeight="1" x14ac:dyDescent="0.25">
      <c r="A2" s="29">
        <v>46248.562017581018</v>
      </c>
      <c r="B2" s="11" t="s">
        <v>37</v>
      </c>
      <c r="C2" s="11" t="s">
        <v>45</v>
      </c>
      <c r="D2" s="11" t="s">
        <v>37</v>
      </c>
      <c r="E2" s="11" t="s">
        <v>58</v>
      </c>
      <c r="F2" s="11">
        <v>8879107327</v>
      </c>
      <c r="G2" s="11" t="s">
        <v>61</v>
      </c>
      <c r="H2" s="11" t="s">
        <v>62</v>
      </c>
      <c r="I2" s="11" t="s">
        <v>63</v>
      </c>
      <c r="J2" s="11" t="s">
        <v>63</v>
      </c>
      <c r="K2" s="35" t="s">
        <v>66</v>
      </c>
      <c r="L2" s="11"/>
      <c r="M2" s="27"/>
      <c r="N2" s="27"/>
      <c r="O2" s="27"/>
      <c r="P2" s="27"/>
      <c r="Q2" s="27"/>
      <c r="R2" s="27"/>
    </row>
    <row r="3" spans="1:18" ht="22.5" customHeight="1" x14ac:dyDescent="0.25">
      <c r="A3" s="29">
        <v>46248.55556356482</v>
      </c>
      <c r="B3" s="11" t="s">
        <v>90</v>
      </c>
      <c r="C3" s="11" t="s">
        <v>17</v>
      </c>
      <c r="D3" s="11" t="s">
        <v>97</v>
      </c>
      <c r="E3" s="11" t="s">
        <v>19</v>
      </c>
      <c r="F3" s="11">
        <v>9757214594</v>
      </c>
      <c r="G3" s="11" t="s">
        <v>61</v>
      </c>
      <c r="H3" s="11" t="s">
        <v>21</v>
      </c>
      <c r="I3" s="11" t="s">
        <v>63</v>
      </c>
      <c r="J3" s="11" t="s">
        <v>109</v>
      </c>
      <c r="K3" s="35" t="s">
        <v>112</v>
      </c>
      <c r="L3" s="11" t="s">
        <v>131</v>
      </c>
      <c r="M3" s="27"/>
      <c r="N3" s="27"/>
      <c r="O3" s="27"/>
      <c r="P3" s="27"/>
      <c r="Q3" s="27"/>
      <c r="R3" s="27"/>
    </row>
    <row r="4" spans="1:18" ht="22.5" customHeight="1" x14ac:dyDescent="0.25">
      <c r="A4" s="29">
        <v>46248.552100833331</v>
      </c>
      <c r="B4" s="11" t="s">
        <v>138</v>
      </c>
      <c r="C4" s="11" t="s">
        <v>75</v>
      </c>
      <c r="D4" s="11" t="s">
        <v>138</v>
      </c>
      <c r="E4" s="11" t="s">
        <v>76</v>
      </c>
      <c r="F4" s="11">
        <v>9766592230</v>
      </c>
      <c r="G4" s="11" t="s">
        <v>61</v>
      </c>
      <c r="H4" s="11" t="s">
        <v>62</v>
      </c>
      <c r="I4" s="11" t="s">
        <v>63</v>
      </c>
      <c r="J4" s="11" t="s">
        <v>104</v>
      </c>
      <c r="K4" s="46" t="s">
        <v>158</v>
      </c>
      <c r="L4" s="11"/>
      <c r="M4" s="27"/>
      <c r="N4" s="27"/>
      <c r="O4" s="27"/>
      <c r="P4" s="27"/>
      <c r="Q4" s="27"/>
      <c r="R4" s="27"/>
    </row>
    <row r="5" spans="1:18" ht="22.5" customHeight="1" x14ac:dyDescent="0.25">
      <c r="A5" s="29">
        <v>46248.549025081018</v>
      </c>
      <c r="B5" s="11" t="s">
        <v>177</v>
      </c>
      <c r="C5" s="11" t="s">
        <v>180</v>
      </c>
      <c r="D5" s="11" t="s">
        <v>177</v>
      </c>
      <c r="E5" s="11" t="s">
        <v>185</v>
      </c>
      <c r="F5" s="11">
        <v>9987923493</v>
      </c>
      <c r="G5" s="11" t="s">
        <v>61</v>
      </c>
      <c r="H5" s="11" t="s">
        <v>192</v>
      </c>
      <c r="I5" s="11" t="s">
        <v>63</v>
      </c>
      <c r="J5" s="11" t="s">
        <v>197</v>
      </c>
      <c r="K5" s="35" t="s">
        <v>200</v>
      </c>
      <c r="L5" s="11"/>
      <c r="M5" s="27"/>
      <c r="N5" s="27"/>
      <c r="O5" s="27"/>
      <c r="P5" s="27"/>
      <c r="Q5" s="27"/>
      <c r="R5" s="27"/>
    </row>
    <row r="6" spans="1:18" ht="22.5" customHeight="1" x14ac:dyDescent="0.25">
      <c r="A6" s="29">
        <v>46248.501819826386</v>
      </c>
      <c r="B6" s="11" t="s">
        <v>223</v>
      </c>
      <c r="C6" s="11" t="s">
        <v>77</v>
      </c>
      <c r="D6" s="11" t="s">
        <v>223</v>
      </c>
      <c r="E6" s="11" t="s">
        <v>78</v>
      </c>
      <c r="F6" s="11">
        <v>8456815910</v>
      </c>
      <c r="G6" s="11" t="s">
        <v>61</v>
      </c>
      <c r="H6" s="11" t="s">
        <v>62</v>
      </c>
      <c r="I6" s="11" t="s">
        <v>63</v>
      </c>
      <c r="J6" s="11" t="s">
        <v>240</v>
      </c>
      <c r="K6" s="35" t="s">
        <v>241</v>
      </c>
      <c r="L6" s="11"/>
      <c r="M6" s="27"/>
      <c r="N6" s="27"/>
      <c r="O6" s="27"/>
      <c r="P6" s="27"/>
      <c r="Q6" s="27"/>
      <c r="R6" s="27"/>
    </row>
    <row r="7" spans="1:18" ht="22.5" customHeight="1" x14ac:dyDescent="0.25">
      <c r="A7" s="29">
        <v>46248.437467037038</v>
      </c>
      <c r="B7" s="11" t="s">
        <v>269</v>
      </c>
      <c r="C7" s="11" t="s">
        <v>80</v>
      </c>
      <c r="D7" s="11" t="s">
        <v>269</v>
      </c>
      <c r="E7" s="11" t="s">
        <v>81</v>
      </c>
      <c r="F7" s="11">
        <v>9326094398</v>
      </c>
      <c r="G7" s="11" t="s">
        <v>61</v>
      </c>
      <c r="H7" s="11" t="s">
        <v>62</v>
      </c>
      <c r="I7" s="11" t="s">
        <v>63</v>
      </c>
      <c r="J7" s="11" t="s">
        <v>288</v>
      </c>
      <c r="K7" s="35" t="s">
        <v>291</v>
      </c>
      <c r="L7" s="11" t="s">
        <v>306</v>
      </c>
      <c r="M7" s="27"/>
      <c r="N7" s="27"/>
      <c r="O7" s="27"/>
      <c r="P7" s="27"/>
      <c r="Q7" s="27"/>
      <c r="R7" s="27"/>
    </row>
    <row r="8" spans="1:18" ht="22.5" customHeight="1" x14ac:dyDescent="0.25">
      <c r="A8" s="29">
        <v>46248.424019942133</v>
      </c>
      <c r="B8" s="11" t="s">
        <v>316</v>
      </c>
      <c r="C8" s="11" t="s">
        <v>82</v>
      </c>
      <c r="D8" s="11" t="s">
        <v>316</v>
      </c>
      <c r="E8" s="11" t="s">
        <v>83</v>
      </c>
      <c r="F8" s="11">
        <v>7738488505</v>
      </c>
      <c r="G8" s="11" t="s">
        <v>61</v>
      </c>
      <c r="H8" s="11" t="s">
        <v>62</v>
      </c>
      <c r="I8" s="11" t="s">
        <v>63</v>
      </c>
      <c r="J8" s="11" t="s">
        <v>334</v>
      </c>
      <c r="K8" s="35" t="s">
        <v>335</v>
      </c>
      <c r="L8" s="11"/>
      <c r="M8" s="27"/>
      <c r="N8" s="27"/>
      <c r="O8" s="27"/>
      <c r="P8" s="27"/>
      <c r="Q8" s="27"/>
      <c r="R8" s="27"/>
    </row>
    <row r="9" spans="1:18" ht="22.5" customHeight="1" x14ac:dyDescent="0.25">
      <c r="A9" s="29">
        <v>46248.421057071755</v>
      </c>
      <c r="B9" s="11" t="s">
        <v>358</v>
      </c>
      <c r="C9" s="11" t="s">
        <v>84</v>
      </c>
      <c r="D9" s="11" t="s">
        <v>358</v>
      </c>
      <c r="E9" s="11" t="s">
        <v>85</v>
      </c>
      <c r="F9" s="11">
        <v>8104697081</v>
      </c>
      <c r="G9" s="11" t="s">
        <v>61</v>
      </c>
      <c r="H9" s="11" t="s">
        <v>62</v>
      </c>
      <c r="I9" s="11" t="s">
        <v>63</v>
      </c>
      <c r="J9" s="11" t="s">
        <v>367</v>
      </c>
      <c r="K9" s="35" t="s">
        <v>368</v>
      </c>
      <c r="L9" s="11"/>
      <c r="M9" s="27"/>
      <c r="N9" s="27"/>
      <c r="O9" s="27"/>
      <c r="P9" s="27"/>
      <c r="Q9" s="27"/>
      <c r="R9" s="27"/>
    </row>
    <row r="10" spans="1:18" ht="22.5" customHeight="1" x14ac:dyDescent="0.25">
      <c r="A10" s="29">
        <v>46248.413303611116</v>
      </c>
      <c r="B10" s="11" t="s">
        <v>376</v>
      </c>
      <c r="C10" s="11" t="s">
        <v>86</v>
      </c>
      <c r="D10" s="11" t="s">
        <v>376</v>
      </c>
      <c r="E10" s="11" t="s">
        <v>87</v>
      </c>
      <c r="F10" s="11">
        <v>8208097951</v>
      </c>
      <c r="G10" s="11" t="s">
        <v>61</v>
      </c>
      <c r="H10" s="11" t="s">
        <v>62</v>
      </c>
      <c r="I10" s="11" t="s">
        <v>63</v>
      </c>
      <c r="J10" s="11" t="s">
        <v>382</v>
      </c>
      <c r="K10" s="35" t="s">
        <v>385</v>
      </c>
      <c r="L10" s="11"/>
      <c r="M10" s="27"/>
      <c r="N10" s="27"/>
      <c r="O10" s="27"/>
      <c r="P10" s="27"/>
      <c r="Q10" s="27"/>
      <c r="R10" s="27"/>
    </row>
    <row r="11" spans="1:18" ht="22.5" customHeight="1" x14ac:dyDescent="0.25">
      <c r="A11" s="29">
        <v>46248.403596377313</v>
      </c>
      <c r="B11" s="11" t="s">
        <v>394</v>
      </c>
      <c r="C11" s="11" t="s">
        <v>88</v>
      </c>
      <c r="D11" s="11" t="s">
        <v>394</v>
      </c>
      <c r="E11" s="11" t="s">
        <v>89</v>
      </c>
      <c r="F11" s="11">
        <v>9552816324</v>
      </c>
      <c r="G11" s="11" t="s">
        <v>61</v>
      </c>
      <c r="H11" s="11" t="s">
        <v>62</v>
      </c>
      <c r="I11" s="11" t="s">
        <v>63</v>
      </c>
      <c r="J11" s="11" t="s">
        <v>104</v>
      </c>
      <c r="K11" s="35" t="s">
        <v>397</v>
      </c>
      <c r="L11" s="11" t="s">
        <v>104</v>
      </c>
      <c r="M11" s="27"/>
      <c r="N11" s="27"/>
      <c r="O11" s="27"/>
      <c r="P11" s="27"/>
      <c r="Q11" s="27"/>
      <c r="R11" s="27"/>
    </row>
    <row r="12" spans="1:18" ht="22.5" customHeight="1" x14ac:dyDescent="0.25">
      <c r="A12" s="29">
        <v>46248.395689166668</v>
      </c>
      <c r="B12" s="11" t="s">
        <v>399</v>
      </c>
      <c r="C12" s="11" t="s">
        <v>379</v>
      </c>
      <c r="D12" s="11" t="s">
        <v>399</v>
      </c>
      <c r="E12" s="11" t="s">
        <v>380</v>
      </c>
      <c r="F12" s="11">
        <v>8779301875</v>
      </c>
      <c r="G12" s="11" t="s">
        <v>61</v>
      </c>
      <c r="H12" s="11" t="s">
        <v>381</v>
      </c>
      <c r="I12" s="11" t="s">
        <v>63</v>
      </c>
      <c r="J12" s="11">
        <v>3500</v>
      </c>
      <c r="K12" s="35" t="s">
        <v>400</v>
      </c>
      <c r="L12" s="11"/>
      <c r="M12" s="27"/>
      <c r="N12" s="27"/>
      <c r="O12" s="27"/>
      <c r="P12" s="27"/>
      <c r="Q12" s="27"/>
      <c r="R12" s="27"/>
    </row>
    <row r="13" spans="1:18" ht="22.5" customHeight="1" x14ac:dyDescent="0.25">
      <c r="A13" s="29">
        <v>46248.393946435186</v>
      </c>
      <c r="B13" s="11" t="s">
        <v>402</v>
      </c>
      <c r="C13" s="11" t="s">
        <v>91</v>
      </c>
      <c r="D13" s="11" t="s">
        <v>402</v>
      </c>
      <c r="E13" s="11" t="s">
        <v>92</v>
      </c>
      <c r="F13" s="11">
        <v>8108755999</v>
      </c>
      <c r="G13" s="11" t="s">
        <v>61</v>
      </c>
      <c r="H13" s="11" t="s">
        <v>62</v>
      </c>
      <c r="I13" s="11" t="s">
        <v>63</v>
      </c>
      <c r="J13" s="11">
        <v>3500</v>
      </c>
      <c r="K13" s="35" t="s">
        <v>403</v>
      </c>
      <c r="L13" s="11"/>
      <c r="M13" s="27"/>
      <c r="N13" s="27"/>
      <c r="O13" s="27"/>
      <c r="P13" s="27"/>
      <c r="Q13" s="27"/>
      <c r="R13" s="27"/>
    </row>
    <row r="14" spans="1:18" ht="22.5" customHeight="1" x14ac:dyDescent="0.25">
      <c r="A14" s="29">
        <v>46247.984450185184</v>
      </c>
      <c r="B14" s="11" t="s">
        <v>404</v>
      </c>
      <c r="C14" s="11" t="s">
        <v>93</v>
      </c>
      <c r="D14" s="11" t="s">
        <v>404</v>
      </c>
      <c r="E14" s="11" t="s">
        <v>94</v>
      </c>
      <c r="F14" s="11">
        <v>9152166507</v>
      </c>
      <c r="G14" s="11" t="s">
        <v>61</v>
      </c>
      <c r="H14" s="11" t="s">
        <v>62</v>
      </c>
      <c r="I14" s="11" t="s">
        <v>63</v>
      </c>
      <c r="J14" s="11" t="s">
        <v>405</v>
      </c>
      <c r="K14" s="35" t="s">
        <v>407</v>
      </c>
      <c r="L14" s="11"/>
      <c r="M14" s="27"/>
      <c r="N14" s="27"/>
      <c r="O14" s="27"/>
      <c r="P14" s="27"/>
      <c r="Q14" s="27"/>
      <c r="R14" s="27"/>
    </row>
    <row r="15" spans="1:18" ht="22.5" customHeight="1" x14ac:dyDescent="0.25">
      <c r="A15" s="29">
        <v>46247.980412442128</v>
      </c>
      <c r="B15" s="11" t="s">
        <v>408</v>
      </c>
      <c r="C15" s="11" t="s">
        <v>244</v>
      </c>
      <c r="D15" s="11" t="s">
        <v>408</v>
      </c>
      <c r="E15" s="11" t="s">
        <v>245</v>
      </c>
      <c r="F15" s="11">
        <v>9172992100</v>
      </c>
      <c r="G15" s="11" t="s">
        <v>61</v>
      </c>
      <c r="H15" s="11" t="s">
        <v>246</v>
      </c>
      <c r="I15" s="11" t="s">
        <v>63</v>
      </c>
      <c r="J15" s="11" t="s">
        <v>409</v>
      </c>
      <c r="K15" s="35" t="s">
        <v>410</v>
      </c>
      <c r="L15" s="11"/>
      <c r="M15" s="27"/>
      <c r="N15" s="27"/>
      <c r="O15" s="27"/>
      <c r="P15" s="27"/>
      <c r="Q15" s="27"/>
      <c r="R15" s="27"/>
    </row>
    <row r="16" spans="1:18" ht="22.5" customHeight="1" x14ac:dyDescent="0.25">
      <c r="A16" s="29">
        <v>46247.970536851848</v>
      </c>
      <c r="B16" s="11" t="s">
        <v>412</v>
      </c>
      <c r="C16" s="11" t="s">
        <v>95</v>
      </c>
      <c r="D16" s="11" t="s">
        <v>412</v>
      </c>
      <c r="E16" s="11" t="s">
        <v>96</v>
      </c>
      <c r="F16" s="11">
        <v>9819155764</v>
      </c>
      <c r="G16" s="11" t="s">
        <v>61</v>
      </c>
      <c r="H16" s="11" t="s">
        <v>62</v>
      </c>
      <c r="I16" s="11" t="s">
        <v>63</v>
      </c>
      <c r="J16" s="11" t="s">
        <v>413</v>
      </c>
      <c r="K16" s="35" t="s">
        <v>414</v>
      </c>
      <c r="L16" s="11"/>
      <c r="M16" s="27"/>
      <c r="N16" s="27"/>
      <c r="O16" s="27"/>
      <c r="P16" s="27"/>
      <c r="Q16" s="27"/>
      <c r="R16" s="27"/>
    </row>
    <row r="17" spans="1:18" ht="22.5" customHeight="1" x14ac:dyDescent="0.25">
      <c r="A17" s="29">
        <v>46247.949433807866</v>
      </c>
      <c r="B17" s="11" t="s">
        <v>415</v>
      </c>
      <c r="C17" s="11" t="s">
        <v>99</v>
      </c>
      <c r="D17" s="11" t="s">
        <v>416</v>
      </c>
      <c r="E17" s="11" t="s">
        <v>100</v>
      </c>
      <c r="F17" s="11">
        <v>9324987974</v>
      </c>
      <c r="G17" s="11" t="s">
        <v>61</v>
      </c>
      <c r="H17" s="11" t="s">
        <v>62</v>
      </c>
      <c r="I17" s="11" t="s">
        <v>63</v>
      </c>
      <c r="J17" s="11" t="s">
        <v>104</v>
      </c>
      <c r="K17" s="35" t="s">
        <v>418</v>
      </c>
      <c r="L17" s="11"/>
      <c r="M17" s="27"/>
      <c r="N17" s="27"/>
      <c r="O17" s="27"/>
      <c r="P17" s="27"/>
      <c r="Q17" s="27"/>
      <c r="R17" s="27"/>
    </row>
    <row r="18" spans="1:18" ht="22.5" customHeight="1" x14ac:dyDescent="0.25">
      <c r="A18" s="29">
        <v>46247.935270381946</v>
      </c>
      <c r="B18" s="11" t="s">
        <v>419</v>
      </c>
      <c r="C18" s="11" t="s">
        <v>102</v>
      </c>
      <c r="D18" s="11" t="s">
        <v>419</v>
      </c>
      <c r="E18" s="11" t="s">
        <v>103</v>
      </c>
      <c r="F18" s="11">
        <v>9307484139</v>
      </c>
      <c r="G18" s="11" t="s">
        <v>61</v>
      </c>
      <c r="H18" s="11" t="s">
        <v>62</v>
      </c>
      <c r="I18" s="11" t="s">
        <v>63</v>
      </c>
      <c r="J18" s="11" t="s">
        <v>420</v>
      </c>
      <c r="K18" s="35" t="s">
        <v>421</v>
      </c>
      <c r="L18" s="11"/>
      <c r="M18" s="27"/>
      <c r="N18" s="27"/>
      <c r="O18" s="27"/>
      <c r="P18" s="27"/>
      <c r="Q18" s="27"/>
      <c r="R18" s="27"/>
    </row>
    <row r="19" spans="1:18" ht="22.5" customHeight="1" x14ac:dyDescent="0.25">
      <c r="A19" s="29">
        <v>46247.92587334491</v>
      </c>
      <c r="B19" s="11" t="s">
        <v>423</v>
      </c>
      <c r="C19" s="11" t="s">
        <v>24</v>
      </c>
      <c r="D19" s="11" t="s">
        <v>423</v>
      </c>
      <c r="E19" s="11" t="s">
        <v>26</v>
      </c>
      <c r="F19" s="11">
        <v>7400148389</v>
      </c>
      <c r="G19" s="11" t="s">
        <v>61</v>
      </c>
      <c r="H19" s="11" t="s">
        <v>21</v>
      </c>
      <c r="I19" s="11" t="s">
        <v>63</v>
      </c>
      <c r="J19" s="11" t="s">
        <v>104</v>
      </c>
      <c r="K19" s="35" t="s">
        <v>424</v>
      </c>
      <c r="L19" s="11"/>
      <c r="M19" s="27"/>
      <c r="N19" s="27"/>
      <c r="O19" s="27"/>
      <c r="P19" s="27"/>
      <c r="Q19" s="27"/>
      <c r="R19" s="27"/>
    </row>
    <row r="20" spans="1:18" ht="22.5" customHeight="1" x14ac:dyDescent="0.25">
      <c r="A20" s="29">
        <v>46247.925349166668</v>
      </c>
      <c r="B20" s="11" t="s">
        <v>425</v>
      </c>
      <c r="C20" s="11" t="s">
        <v>247</v>
      </c>
      <c r="D20" s="11" t="s">
        <v>425</v>
      </c>
      <c r="E20" s="11" t="s">
        <v>248</v>
      </c>
      <c r="F20" s="11">
        <v>7304725048</v>
      </c>
      <c r="G20" s="11" t="s">
        <v>61</v>
      </c>
      <c r="H20" s="11" t="s">
        <v>246</v>
      </c>
      <c r="I20" s="11" t="s">
        <v>63</v>
      </c>
      <c r="J20" s="11" t="s">
        <v>426</v>
      </c>
      <c r="K20" s="35" t="s">
        <v>427</v>
      </c>
      <c r="L20" s="11"/>
      <c r="M20" s="27"/>
      <c r="N20" s="27"/>
      <c r="O20" s="27"/>
      <c r="P20" s="27"/>
      <c r="Q20" s="27"/>
      <c r="R20" s="27"/>
    </row>
    <row r="21" spans="1:18" ht="22.5" customHeight="1" x14ac:dyDescent="0.25">
      <c r="A21" s="29">
        <v>46247.916183657406</v>
      </c>
      <c r="B21" s="11" t="s">
        <v>430</v>
      </c>
      <c r="C21" s="11" t="s">
        <v>249</v>
      </c>
      <c r="D21" s="11" t="s">
        <v>431</v>
      </c>
      <c r="E21" s="11" t="s">
        <v>250</v>
      </c>
      <c r="F21" s="11">
        <v>9021869940</v>
      </c>
      <c r="G21" s="11" t="s">
        <v>61</v>
      </c>
      <c r="H21" s="11" t="s">
        <v>246</v>
      </c>
      <c r="I21" s="11" t="s">
        <v>63</v>
      </c>
      <c r="J21" s="11" t="s">
        <v>432</v>
      </c>
      <c r="K21" s="35" t="s">
        <v>433</v>
      </c>
      <c r="L21" s="11"/>
      <c r="M21" s="27"/>
      <c r="N21" s="27"/>
      <c r="O21" s="27"/>
      <c r="P21" s="27"/>
      <c r="Q21" s="27"/>
      <c r="R21" s="27"/>
    </row>
    <row r="22" spans="1:18" ht="22.5" customHeight="1" x14ac:dyDescent="0.25">
      <c r="A22" s="29">
        <v>46247.905729803242</v>
      </c>
      <c r="B22" s="11" t="s">
        <v>435</v>
      </c>
      <c r="C22" s="11" t="s">
        <v>105</v>
      </c>
      <c r="D22" s="11" t="s">
        <v>436</v>
      </c>
      <c r="E22" s="11" t="s">
        <v>106</v>
      </c>
      <c r="F22" s="11">
        <v>8275589550</v>
      </c>
      <c r="G22" s="11" t="s">
        <v>61</v>
      </c>
      <c r="H22" s="11" t="s">
        <v>62</v>
      </c>
      <c r="I22" s="11" t="s">
        <v>63</v>
      </c>
      <c r="J22" s="11">
        <v>3500</v>
      </c>
      <c r="K22" s="35" t="s">
        <v>437</v>
      </c>
      <c r="L22" s="11"/>
      <c r="M22" s="27"/>
      <c r="N22" s="27"/>
      <c r="O22" s="27"/>
      <c r="P22" s="27"/>
      <c r="Q22" s="27"/>
      <c r="R22" s="27"/>
    </row>
    <row r="23" spans="1:18" ht="22.5" customHeight="1" x14ac:dyDescent="0.25">
      <c r="A23" s="29">
        <v>46247.884376875001</v>
      </c>
      <c r="B23" s="11" t="s">
        <v>438</v>
      </c>
      <c r="C23" s="11" t="s">
        <v>251</v>
      </c>
      <c r="D23" s="11" t="s">
        <v>438</v>
      </c>
      <c r="E23" s="11" t="s">
        <v>252</v>
      </c>
      <c r="F23" s="11">
        <v>9594093061</v>
      </c>
      <c r="G23" s="11" t="s">
        <v>61</v>
      </c>
      <c r="H23" s="11" t="s">
        <v>246</v>
      </c>
      <c r="I23" s="11" t="s">
        <v>63</v>
      </c>
      <c r="J23" s="11" t="s">
        <v>440</v>
      </c>
      <c r="K23" s="35" t="s">
        <v>441</v>
      </c>
      <c r="L23" s="11"/>
      <c r="M23" s="27"/>
      <c r="N23" s="27"/>
      <c r="O23" s="27"/>
      <c r="P23" s="27"/>
      <c r="Q23" s="27"/>
      <c r="R23" s="27"/>
    </row>
    <row r="24" spans="1:18" ht="22.5" customHeight="1" x14ac:dyDescent="0.25">
      <c r="A24" s="29">
        <v>46247.84994724537</v>
      </c>
      <c r="B24" s="11" t="s">
        <v>442</v>
      </c>
      <c r="C24" s="11" t="s">
        <v>107</v>
      </c>
      <c r="D24" s="11" t="s">
        <v>442</v>
      </c>
      <c r="E24" s="11" t="s">
        <v>108</v>
      </c>
      <c r="F24" s="11">
        <v>9082663796</v>
      </c>
      <c r="G24" s="11" t="s">
        <v>61</v>
      </c>
      <c r="H24" s="11" t="s">
        <v>62</v>
      </c>
      <c r="I24" s="11" t="s">
        <v>63</v>
      </c>
      <c r="J24" s="11" t="s">
        <v>443</v>
      </c>
      <c r="K24" s="35" t="s">
        <v>444</v>
      </c>
      <c r="L24" s="11"/>
      <c r="M24" s="27"/>
      <c r="N24" s="27"/>
      <c r="O24" s="27"/>
      <c r="P24" s="27"/>
      <c r="Q24" s="27"/>
      <c r="R24" s="27"/>
    </row>
    <row r="25" spans="1:18" ht="22.5" customHeight="1" x14ac:dyDescent="0.25">
      <c r="A25" s="29">
        <v>46247.834505104169</v>
      </c>
      <c r="B25" s="11" t="s">
        <v>445</v>
      </c>
      <c r="C25" s="11" t="s">
        <v>110</v>
      </c>
      <c r="D25" s="11" t="s">
        <v>445</v>
      </c>
      <c r="E25" s="11" t="s">
        <v>111</v>
      </c>
      <c r="F25" s="11">
        <v>8652186570</v>
      </c>
      <c r="G25" s="11" t="s">
        <v>61</v>
      </c>
      <c r="H25" s="11" t="s">
        <v>62</v>
      </c>
      <c r="I25" s="11" t="s">
        <v>63</v>
      </c>
      <c r="J25" s="11">
        <v>3500</v>
      </c>
      <c r="K25" s="35" t="s">
        <v>446</v>
      </c>
      <c r="L25" s="11"/>
      <c r="M25" s="27"/>
      <c r="N25" s="27"/>
      <c r="O25" s="27"/>
      <c r="P25" s="27"/>
      <c r="Q25" s="27"/>
      <c r="R25" s="27"/>
    </row>
    <row r="26" spans="1:18" ht="22.5" customHeight="1" x14ac:dyDescent="0.25">
      <c r="A26" s="29">
        <v>46247.818415856484</v>
      </c>
      <c r="B26" s="11" t="s">
        <v>447</v>
      </c>
      <c r="C26" s="11" t="s">
        <v>28</v>
      </c>
      <c r="D26" s="11" t="s">
        <v>448</v>
      </c>
      <c r="E26" s="11" t="s">
        <v>29</v>
      </c>
      <c r="F26" s="11">
        <v>8617789530</v>
      </c>
      <c r="G26" s="11" t="s">
        <v>61</v>
      </c>
      <c r="H26" s="11" t="s">
        <v>21</v>
      </c>
      <c r="I26" s="11" t="s">
        <v>63</v>
      </c>
      <c r="J26" s="11" t="s">
        <v>449</v>
      </c>
      <c r="K26" s="35" t="s">
        <v>450</v>
      </c>
      <c r="L26" s="11"/>
      <c r="M26" s="27"/>
      <c r="N26" s="27"/>
      <c r="O26" s="27"/>
      <c r="P26" s="27"/>
      <c r="Q26" s="27"/>
      <c r="R26" s="27"/>
    </row>
    <row r="27" spans="1:18" ht="22.5" customHeight="1" x14ac:dyDescent="0.25">
      <c r="A27" s="29">
        <v>46247.647438969907</v>
      </c>
      <c r="B27" s="11" t="s">
        <v>451</v>
      </c>
      <c r="C27" s="11" t="s">
        <v>113</v>
      </c>
      <c r="D27" s="11" t="s">
        <v>451</v>
      </c>
      <c r="E27" s="11" t="s">
        <v>114</v>
      </c>
      <c r="F27" s="11">
        <v>9403211247</v>
      </c>
      <c r="G27" s="11" t="s">
        <v>61</v>
      </c>
      <c r="H27" s="11" t="s">
        <v>62</v>
      </c>
      <c r="I27" s="11" t="s">
        <v>63</v>
      </c>
      <c r="J27" s="11" t="s">
        <v>452</v>
      </c>
      <c r="K27" s="35" t="s">
        <v>453</v>
      </c>
      <c r="L27" s="11"/>
      <c r="M27" s="27"/>
      <c r="N27" s="27"/>
      <c r="O27" s="27"/>
      <c r="P27" s="27"/>
      <c r="Q27" s="27"/>
      <c r="R27" s="27"/>
    </row>
    <row r="28" spans="1:18" ht="22.5" customHeight="1" x14ac:dyDescent="0.25">
      <c r="A28" s="29">
        <v>46247.574955868055</v>
      </c>
      <c r="B28" s="11" t="s">
        <v>454</v>
      </c>
      <c r="C28" s="11" t="s">
        <v>115</v>
      </c>
      <c r="D28" s="11" t="s">
        <v>454</v>
      </c>
      <c r="E28" s="11" t="s">
        <v>116</v>
      </c>
      <c r="F28" s="11">
        <v>9167029632</v>
      </c>
      <c r="G28" s="11" t="s">
        <v>61</v>
      </c>
      <c r="H28" s="11" t="s">
        <v>62</v>
      </c>
      <c r="I28" s="11" t="s">
        <v>63</v>
      </c>
      <c r="J28" s="11" t="s">
        <v>409</v>
      </c>
      <c r="K28" s="35" t="s">
        <v>455</v>
      </c>
      <c r="L28" s="11"/>
      <c r="M28" s="27"/>
      <c r="N28" s="27"/>
      <c r="O28" s="27"/>
      <c r="P28" s="27"/>
      <c r="Q28" s="27"/>
      <c r="R28" s="27"/>
    </row>
    <row r="29" spans="1:18" ht="22.5" customHeight="1" x14ac:dyDescent="0.25">
      <c r="A29" s="29">
        <v>46247.520579050921</v>
      </c>
      <c r="B29" s="11" t="s">
        <v>456</v>
      </c>
      <c r="C29" s="11" t="s">
        <v>336</v>
      </c>
      <c r="D29" s="11" t="s">
        <v>457</v>
      </c>
      <c r="E29" s="11" t="s">
        <v>337</v>
      </c>
      <c r="F29" s="11">
        <v>8779982858</v>
      </c>
      <c r="G29" s="11" t="s">
        <v>61</v>
      </c>
      <c r="H29" s="11" t="s">
        <v>192</v>
      </c>
      <c r="I29" s="11" t="s">
        <v>63</v>
      </c>
      <c r="J29" s="11" t="s">
        <v>104</v>
      </c>
      <c r="K29" s="35" t="s">
        <v>458</v>
      </c>
      <c r="L29" s="11"/>
      <c r="M29" s="27"/>
      <c r="N29" s="27"/>
      <c r="O29" s="27"/>
      <c r="P29" s="27"/>
      <c r="Q29" s="27"/>
      <c r="R29" s="27"/>
    </row>
    <row r="30" spans="1:18" ht="22.5" customHeight="1" x14ac:dyDescent="0.25">
      <c r="A30" s="29">
        <v>46247.414768668983</v>
      </c>
      <c r="B30" s="11" t="s">
        <v>459</v>
      </c>
      <c r="C30" s="11" t="s">
        <v>117</v>
      </c>
      <c r="D30" s="11" t="s">
        <v>460</v>
      </c>
      <c r="E30" s="11" t="s">
        <v>118</v>
      </c>
      <c r="F30" s="11">
        <v>9764311207</v>
      </c>
      <c r="G30" s="11" t="s">
        <v>61</v>
      </c>
      <c r="H30" s="11" t="s">
        <v>62</v>
      </c>
      <c r="I30" s="11" t="s">
        <v>63</v>
      </c>
      <c r="J30" s="11" t="s">
        <v>461</v>
      </c>
      <c r="K30" s="35" t="s">
        <v>462</v>
      </c>
      <c r="L30" s="11"/>
      <c r="M30" s="27"/>
      <c r="N30" s="27"/>
      <c r="O30" s="27"/>
      <c r="P30" s="27"/>
      <c r="Q30" s="27"/>
      <c r="R30" s="27"/>
    </row>
    <row r="31" spans="1:18" ht="22.5" customHeight="1" x14ac:dyDescent="0.25">
      <c r="A31" s="29">
        <v>46246.972554386579</v>
      </c>
      <c r="B31" s="11" t="s">
        <v>463</v>
      </c>
      <c r="C31" s="11" t="s">
        <v>119</v>
      </c>
      <c r="D31" s="11" t="s">
        <v>463</v>
      </c>
      <c r="E31" s="11" t="s">
        <v>120</v>
      </c>
      <c r="F31" s="11">
        <v>9321232991</v>
      </c>
      <c r="G31" s="11" t="s">
        <v>61</v>
      </c>
      <c r="H31" s="11" t="s">
        <v>62</v>
      </c>
      <c r="I31" s="11" t="s">
        <v>63</v>
      </c>
      <c r="J31" s="11" t="s">
        <v>109</v>
      </c>
      <c r="K31" s="35" t="s">
        <v>464</v>
      </c>
      <c r="L31" s="11"/>
      <c r="M31" s="27"/>
      <c r="N31" s="27"/>
      <c r="O31" s="27"/>
      <c r="P31" s="27"/>
      <c r="Q31" s="27"/>
      <c r="R31" s="27"/>
    </row>
    <row r="32" spans="1:18" ht="22.5" customHeight="1" x14ac:dyDescent="0.25">
      <c r="A32" s="29">
        <v>46246.834109027783</v>
      </c>
      <c r="B32" s="11" t="s">
        <v>465</v>
      </c>
      <c r="C32" s="11" t="s">
        <v>121</v>
      </c>
      <c r="D32" s="11" t="s">
        <v>465</v>
      </c>
      <c r="E32" s="11" t="s">
        <v>122</v>
      </c>
      <c r="F32" s="11">
        <v>7208777716</v>
      </c>
      <c r="G32" s="11" t="s">
        <v>61</v>
      </c>
      <c r="H32" s="11" t="s">
        <v>62</v>
      </c>
      <c r="I32" s="11" t="s">
        <v>63</v>
      </c>
      <c r="J32" s="11" t="s">
        <v>466</v>
      </c>
      <c r="K32" s="35" t="s">
        <v>467</v>
      </c>
      <c r="L32" s="11"/>
      <c r="M32" s="27"/>
      <c r="N32" s="27"/>
      <c r="O32" s="27"/>
      <c r="P32" s="27"/>
      <c r="Q32" s="27"/>
      <c r="R32" s="27"/>
    </row>
    <row r="33" spans="1:18" ht="22.5" customHeight="1" x14ac:dyDescent="0.25">
      <c r="A33" s="29">
        <v>46246.743828275459</v>
      </c>
      <c r="B33" s="11" t="s">
        <v>468</v>
      </c>
      <c r="C33" s="11" t="s">
        <v>253</v>
      </c>
      <c r="D33" s="11" t="s">
        <v>468</v>
      </c>
      <c r="E33" s="11" t="s">
        <v>254</v>
      </c>
      <c r="F33" s="11">
        <v>9324957911</v>
      </c>
      <c r="G33" s="11" t="s">
        <v>61</v>
      </c>
      <c r="H33" s="11" t="s">
        <v>246</v>
      </c>
      <c r="I33" s="11" t="s">
        <v>63</v>
      </c>
      <c r="J33" s="11" t="s">
        <v>469</v>
      </c>
      <c r="K33" s="35" t="s">
        <v>470</v>
      </c>
      <c r="L33" s="11"/>
      <c r="M33" s="27"/>
      <c r="N33" s="27"/>
      <c r="O33" s="27"/>
      <c r="P33" s="27"/>
      <c r="Q33" s="27"/>
      <c r="R33" s="27"/>
    </row>
    <row r="34" spans="1:18" ht="22.5" customHeight="1" x14ac:dyDescent="0.25">
      <c r="A34" s="29">
        <v>46246.629015729166</v>
      </c>
      <c r="B34" s="11" t="s">
        <v>471</v>
      </c>
      <c r="C34" s="11" t="s">
        <v>255</v>
      </c>
      <c r="D34" s="11" t="s">
        <v>472</v>
      </c>
      <c r="E34" s="11" t="s">
        <v>256</v>
      </c>
      <c r="F34" s="11">
        <v>8657656240</v>
      </c>
      <c r="G34" s="11" t="s">
        <v>61</v>
      </c>
      <c r="H34" s="11" t="s">
        <v>246</v>
      </c>
      <c r="I34" s="11" t="s">
        <v>63</v>
      </c>
      <c r="J34" s="11" t="s">
        <v>473</v>
      </c>
      <c r="K34" s="35" t="s">
        <v>474</v>
      </c>
      <c r="L34" s="11"/>
      <c r="M34" s="27"/>
      <c r="N34" s="27"/>
      <c r="O34" s="27"/>
      <c r="P34" s="27"/>
      <c r="Q34" s="27"/>
      <c r="R34" s="27"/>
    </row>
    <row r="35" spans="1:18" ht="22.5" customHeight="1" x14ac:dyDescent="0.25">
      <c r="A35" s="29">
        <v>46246.57596574074</v>
      </c>
      <c r="B35" s="11" t="s">
        <v>475</v>
      </c>
      <c r="C35" s="11" t="s">
        <v>123</v>
      </c>
      <c r="D35" s="11" t="s">
        <v>476</v>
      </c>
      <c r="E35" s="11" t="s">
        <v>124</v>
      </c>
      <c r="F35" s="11">
        <v>9324633282</v>
      </c>
      <c r="G35" s="11" t="s">
        <v>61</v>
      </c>
      <c r="H35" s="11" t="s">
        <v>62</v>
      </c>
      <c r="I35" s="11" t="s">
        <v>63</v>
      </c>
      <c r="J35" s="11" t="s">
        <v>104</v>
      </c>
      <c r="K35" s="35" t="s">
        <v>477</v>
      </c>
      <c r="L35" s="11"/>
      <c r="M35" s="27"/>
      <c r="N35" s="27"/>
      <c r="O35" s="27"/>
      <c r="P35" s="27"/>
      <c r="Q35" s="27"/>
      <c r="R35" s="27"/>
    </row>
    <row r="36" spans="1:18" ht="22.5" customHeight="1" x14ac:dyDescent="0.25">
      <c r="A36" s="29">
        <v>46246.573962013892</v>
      </c>
      <c r="B36" s="11" t="s">
        <v>478</v>
      </c>
      <c r="C36" s="11" t="s">
        <v>257</v>
      </c>
      <c r="D36" s="11" t="s">
        <v>478</v>
      </c>
      <c r="E36" s="11" t="s">
        <v>258</v>
      </c>
      <c r="F36" s="11" t="s">
        <v>259</v>
      </c>
      <c r="G36" s="11" t="s">
        <v>61</v>
      </c>
      <c r="H36" s="11" t="s">
        <v>246</v>
      </c>
      <c r="I36" s="11" t="s">
        <v>63</v>
      </c>
      <c r="J36" s="11" t="s">
        <v>109</v>
      </c>
      <c r="K36" s="35" t="s">
        <v>479</v>
      </c>
      <c r="L36" s="11"/>
      <c r="M36" s="27"/>
      <c r="N36" s="27"/>
      <c r="O36" s="27"/>
      <c r="P36" s="27"/>
      <c r="Q36" s="27"/>
      <c r="R36" s="27"/>
    </row>
    <row r="37" spans="1:18" ht="22.5" customHeight="1" x14ac:dyDescent="0.25">
      <c r="A37" s="29">
        <v>46246.517343865737</v>
      </c>
      <c r="B37" s="11" t="s">
        <v>480</v>
      </c>
      <c r="C37" s="11" t="s">
        <v>125</v>
      </c>
      <c r="D37" s="11" t="s">
        <v>480</v>
      </c>
      <c r="E37" s="11" t="s">
        <v>126</v>
      </c>
      <c r="F37" s="11">
        <v>9967976058</v>
      </c>
      <c r="G37" s="11" t="s">
        <v>61</v>
      </c>
      <c r="H37" s="11" t="s">
        <v>62</v>
      </c>
      <c r="I37" s="11" t="s">
        <v>63</v>
      </c>
      <c r="J37" s="11" t="s">
        <v>466</v>
      </c>
      <c r="K37" s="35" t="s">
        <v>481</v>
      </c>
      <c r="L37" s="11" t="s">
        <v>466</v>
      </c>
      <c r="M37" s="27"/>
      <c r="N37" s="27"/>
      <c r="O37" s="27"/>
      <c r="P37" s="27"/>
      <c r="Q37" s="27"/>
      <c r="R37" s="27"/>
    </row>
    <row r="38" spans="1:18" ht="22.5" customHeight="1" x14ac:dyDescent="0.25">
      <c r="A38" s="29">
        <v>46246.476802731486</v>
      </c>
      <c r="B38" s="11" t="s">
        <v>482</v>
      </c>
      <c r="C38" s="11" t="s">
        <v>261</v>
      </c>
      <c r="D38" s="11" t="s">
        <v>482</v>
      </c>
      <c r="E38" s="11" t="s">
        <v>262</v>
      </c>
      <c r="F38" s="11">
        <v>9082091556</v>
      </c>
      <c r="G38" s="11" t="s">
        <v>61</v>
      </c>
      <c r="H38" s="11" t="s">
        <v>246</v>
      </c>
      <c r="I38" s="11" t="s">
        <v>63</v>
      </c>
      <c r="J38" s="11" t="s">
        <v>109</v>
      </c>
      <c r="K38" s="35" t="s">
        <v>483</v>
      </c>
      <c r="L38" s="11"/>
      <c r="M38" s="27"/>
      <c r="N38" s="27"/>
      <c r="O38" s="27"/>
      <c r="P38" s="27"/>
      <c r="Q38" s="27"/>
      <c r="R38" s="27"/>
    </row>
    <row r="39" spans="1:18" ht="22.5" customHeight="1" x14ac:dyDescent="0.25">
      <c r="A39" s="29">
        <v>46246.410866458333</v>
      </c>
      <c r="B39" s="11" t="s">
        <v>484</v>
      </c>
      <c r="C39" s="11" t="s">
        <v>263</v>
      </c>
      <c r="D39" s="11" t="s">
        <v>484</v>
      </c>
      <c r="E39" s="11" t="s">
        <v>264</v>
      </c>
      <c r="F39" s="11">
        <v>8604538806</v>
      </c>
      <c r="G39" s="11" t="s">
        <v>61</v>
      </c>
      <c r="H39" s="11" t="s">
        <v>246</v>
      </c>
      <c r="I39" s="11" t="s">
        <v>63</v>
      </c>
      <c r="J39" s="11" t="s">
        <v>485</v>
      </c>
      <c r="K39" s="35" t="s">
        <v>486</v>
      </c>
      <c r="L39" s="11"/>
      <c r="M39" s="27"/>
      <c r="N39" s="27"/>
      <c r="O39" s="27"/>
      <c r="P39" s="27"/>
      <c r="Q39" s="27"/>
      <c r="R39" s="27"/>
    </row>
    <row r="40" spans="1:18" ht="22.5" customHeight="1" x14ac:dyDescent="0.25">
      <c r="A40" s="29">
        <v>46245.946290671302</v>
      </c>
      <c r="B40" s="11" t="s">
        <v>487</v>
      </c>
      <c r="C40" s="11" t="s">
        <v>127</v>
      </c>
      <c r="D40" s="11" t="s">
        <v>487</v>
      </c>
      <c r="E40" s="11" t="s">
        <v>128</v>
      </c>
      <c r="F40" s="11">
        <v>8879923414</v>
      </c>
      <c r="G40" s="11" t="s">
        <v>61</v>
      </c>
      <c r="H40" s="11" t="s">
        <v>62</v>
      </c>
      <c r="I40" s="11" t="s">
        <v>63</v>
      </c>
      <c r="J40" s="11" t="s">
        <v>104</v>
      </c>
      <c r="K40" s="35" t="s">
        <v>488</v>
      </c>
      <c r="L40" s="11"/>
      <c r="M40" s="27"/>
      <c r="N40" s="27"/>
      <c r="O40" s="27"/>
      <c r="P40" s="27"/>
      <c r="Q40" s="27"/>
      <c r="R40" s="27"/>
    </row>
    <row r="41" spans="1:18" ht="22.5" customHeight="1" x14ac:dyDescent="0.25">
      <c r="A41" s="29">
        <v>46245.876514930555</v>
      </c>
      <c r="B41" s="11" t="s">
        <v>489</v>
      </c>
      <c r="C41" s="11" t="s">
        <v>265</v>
      </c>
      <c r="D41" s="11" t="s">
        <v>489</v>
      </c>
      <c r="E41" s="11" t="s">
        <v>266</v>
      </c>
      <c r="F41" s="11">
        <v>7004704336</v>
      </c>
      <c r="G41" s="11" t="s">
        <v>61</v>
      </c>
      <c r="H41" s="11" t="s">
        <v>246</v>
      </c>
      <c r="I41" s="11" t="s">
        <v>63</v>
      </c>
      <c r="J41" s="11">
        <v>3500</v>
      </c>
      <c r="K41" s="35" t="s">
        <v>490</v>
      </c>
      <c r="L41" s="11"/>
      <c r="M41" s="27"/>
      <c r="N41" s="27"/>
      <c r="O41" s="27"/>
      <c r="P41" s="27"/>
      <c r="Q41" s="27"/>
      <c r="R41" s="27"/>
    </row>
    <row r="42" spans="1:18" ht="22.5" customHeight="1" x14ac:dyDescent="0.25">
      <c r="A42" s="29">
        <v>46245.874145925925</v>
      </c>
      <c r="B42" s="11" t="s">
        <v>491</v>
      </c>
      <c r="C42" s="11" t="s">
        <v>338</v>
      </c>
      <c r="D42" s="11" t="s">
        <v>491</v>
      </c>
      <c r="E42" s="11" t="s">
        <v>339</v>
      </c>
      <c r="F42" s="11">
        <v>9370895011</v>
      </c>
      <c r="G42" s="11" t="s">
        <v>61</v>
      </c>
      <c r="H42" s="11" t="s">
        <v>192</v>
      </c>
      <c r="I42" s="11" t="s">
        <v>63</v>
      </c>
      <c r="J42" s="11" t="s">
        <v>492</v>
      </c>
      <c r="K42" s="35" t="s">
        <v>493</v>
      </c>
      <c r="L42" s="11"/>
      <c r="M42" s="27"/>
      <c r="N42" s="27"/>
      <c r="O42" s="27"/>
      <c r="P42" s="27"/>
      <c r="Q42" s="27"/>
      <c r="R42" s="27"/>
    </row>
    <row r="43" spans="1:18" ht="22.5" customHeight="1" x14ac:dyDescent="0.25">
      <c r="A43" s="29">
        <v>46245.869345011575</v>
      </c>
      <c r="B43" s="11" t="s">
        <v>494</v>
      </c>
      <c r="C43" s="11" t="s">
        <v>31</v>
      </c>
      <c r="D43" s="11" t="s">
        <v>494</v>
      </c>
      <c r="E43" s="11" t="s">
        <v>33</v>
      </c>
      <c r="F43" s="11">
        <v>9867633068</v>
      </c>
      <c r="G43" s="11" t="s">
        <v>61</v>
      </c>
      <c r="H43" s="11" t="s">
        <v>21</v>
      </c>
      <c r="I43" s="11" t="s">
        <v>63</v>
      </c>
      <c r="J43" s="11" t="s">
        <v>495</v>
      </c>
      <c r="K43" s="35" t="s">
        <v>496</v>
      </c>
      <c r="L43" s="11"/>
      <c r="M43" s="27"/>
      <c r="N43" s="27"/>
      <c r="O43" s="27"/>
      <c r="P43" s="27"/>
      <c r="Q43" s="27"/>
      <c r="R43" s="27"/>
    </row>
    <row r="44" spans="1:18" ht="22.5" customHeight="1" x14ac:dyDescent="0.25">
      <c r="A44" s="29">
        <v>46245.84032077546</v>
      </c>
      <c r="B44" s="11" t="s">
        <v>497</v>
      </c>
      <c r="C44" s="11" t="s">
        <v>129</v>
      </c>
      <c r="D44" s="11" t="s">
        <v>497</v>
      </c>
      <c r="E44" s="11" t="s">
        <v>130</v>
      </c>
      <c r="F44" s="11">
        <v>7900042274</v>
      </c>
      <c r="G44" s="11" t="s">
        <v>61</v>
      </c>
      <c r="H44" s="11" t="s">
        <v>62</v>
      </c>
      <c r="I44" s="11" t="s">
        <v>63</v>
      </c>
      <c r="J44" s="11" t="s">
        <v>109</v>
      </c>
      <c r="K44" s="35" t="s">
        <v>498</v>
      </c>
      <c r="L44" s="11"/>
      <c r="M44" s="27"/>
      <c r="N44" s="27"/>
      <c r="O44" s="27"/>
      <c r="P44" s="27"/>
      <c r="Q44" s="27"/>
      <c r="R44" s="27"/>
    </row>
    <row r="45" spans="1:18" ht="22.5" customHeight="1" x14ac:dyDescent="0.25">
      <c r="A45" s="29">
        <v>46245.838883564815</v>
      </c>
      <c r="B45" s="11" t="s">
        <v>499</v>
      </c>
      <c r="C45" s="11" t="s">
        <v>132</v>
      </c>
      <c r="D45" s="11" t="s">
        <v>500</v>
      </c>
      <c r="E45" s="11" t="s">
        <v>133</v>
      </c>
      <c r="F45" s="11">
        <v>9819340045</v>
      </c>
      <c r="G45" s="11" t="s">
        <v>61</v>
      </c>
      <c r="H45" s="11" t="s">
        <v>62</v>
      </c>
      <c r="I45" s="11" t="s">
        <v>63</v>
      </c>
      <c r="J45" s="11" t="s">
        <v>104</v>
      </c>
      <c r="K45" s="35" t="s">
        <v>501</v>
      </c>
      <c r="L45" s="11"/>
      <c r="M45" s="27"/>
      <c r="N45" s="27"/>
      <c r="O45" s="27"/>
      <c r="P45" s="27"/>
      <c r="Q45" s="27"/>
      <c r="R45" s="27"/>
    </row>
    <row r="46" spans="1:18" ht="22.5" customHeight="1" x14ac:dyDescent="0.25">
      <c r="A46" s="29">
        <v>46245.819479895828</v>
      </c>
      <c r="B46" s="11" t="s">
        <v>502</v>
      </c>
      <c r="C46" s="11" t="s">
        <v>34</v>
      </c>
      <c r="D46" s="11" t="s">
        <v>502</v>
      </c>
      <c r="E46" s="11" t="s">
        <v>35</v>
      </c>
      <c r="F46" s="11">
        <v>8369358270</v>
      </c>
      <c r="G46" s="11" t="s">
        <v>61</v>
      </c>
      <c r="H46" s="11" t="s">
        <v>21</v>
      </c>
      <c r="I46" s="11" t="s">
        <v>63</v>
      </c>
      <c r="J46" s="11" t="s">
        <v>503</v>
      </c>
      <c r="K46" s="35" t="s">
        <v>504</v>
      </c>
      <c r="L46" s="11"/>
      <c r="M46" s="27"/>
      <c r="N46" s="27"/>
      <c r="O46" s="27"/>
      <c r="P46" s="27"/>
      <c r="Q46" s="27"/>
      <c r="R46" s="27"/>
    </row>
    <row r="47" spans="1:18" ht="22.5" customHeight="1" x14ac:dyDescent="0.25">
      <c r="A47" s="29">
        <v>46245.654442870371</v>
      </c>
      <c r="B47" s="11" t="s">
        <v>505</v>
      </c>
      <c r="C47" s="11" t="s">
        <v>267</v>
      </c>
      <c r="D47" s="11" t="s">
        <v>505</v>
      </c>
      <c r="E47" s="11" t="s">
        <v>268</v>
      </c>
      <c r="F47" s="11">
        <v>9076440709</v>
      </c>
      <c r="G47" s="11" t="s">
        <v>61</v>
      </c>
      <c r="H47" s="11" t="s">
        <v>246</v>
      </c>
      <c r="I47" s="11" t="s">
        <v>63</v>
      </c>
      <c r="J47" s="11" t="s">
        <v>506</v>
      </c>
      <c r="K47" s="35" t="s">
        <v>507</v>
      </c>
      <c r="L47" s="11"/>
      <c r="M47" s="27"/>
      <c r="N47" s="27"/>
      <c r="O47" s="27"/>
      <c r="P47" s="27"/>
      <c r="Q47" s="27"/>
      <c r="R47" s="27"/>
    </row>
    <row r="48" spans="1:18" ht="22.5" customHeight="1" x14ac:dyDescent="0.25">
      <c r="A48" s="29">
        <v>46245.605889444443</v>
      </c>
      <c r="B48" s="11" t="s">
        <v>508</v>
      </c>
      <c r="C48" s="11" t="s">
        <v>134</v>
      </c>
      <c r="D48" s="11" t="s">
        <v>508</v>
      </c>
      <c r="E48" s="11" t="s">
        <v>135</v>
      </c>
      <c r="F48" s="11">
        <v>9321683863</v>
      </c>
      <c r="G48" s="11" t="s">
        <v>61</v>
      </c>
      <c r="H48" s="11" t="s">
        <v>62</v>
      </c>
      <c r="I48" s="11" t="s">
        <v>63</v>
      </c>
      <c r="J48" s="11" t="s">
        <v>440</v>
      </c>
      <c r="K48" s="35" t="s">
        <v>509</v>
      </c>
      <c r="L48" s="11"/>
      <c r="M48" s="27"/>
      <c r="N48" s="27"/>
      <c r="O48" s="27"/>
      <c r="P48" s="27"/>
      <c r="Q48" s="27"/>
      <c r="R48" s="27"/>
    </row>
    <row r="49" spans="1:18" ht="22.5" customHeight="1" x14ac:dyDescent="0.25">
      <c r="A49" s="29">
        <v>46245.501895243055</v>
      </c>
      <c r="B49" s="11" t="s">
        <v>510</v>
      </c>
      <c r="C49" s="11" t="s">
        <v>136</v>
      </c>
      <c r="D49" s="11" t="s">
        <v>510</v>
      </c>
      <c r="E49" s="11" t="s">
        <v>137</v>
      </c>
      <c r="F49" s="11">
        <v>8976246676</v>
      </c>
      <c r="G49" s="11" t="s">
        <v>61</v>
      </c>
      <c r="H49" s="11" t="s">
        <v>62</v>
      </c>
      <c r="I49" s="11" t="s">
        <v>63</v>
      </c>
      <c r="J49" s="11" t="s">
        <v>101</v>
      </c>
      <c r="K49" s="35" t="s">
        <v>511</v>
      </c>
      <c r="L49" s="11"/>
      <c r="M49" s="27"/>
      <c r="N49" s="27"/>
      <c r="O49" s="27"/>
      <c r="P49" s="27"/>
      <c r="Q49" s="27"/>
      <c r="R49" s="27"/>
    </row>
    <row r="50" spans="1:18" ht="22.5" customHeight="1" x14ac:dyDescent="0.25">
      <c r="A50" s="29">
        <v>46245.466466979167</v>
      </c>
      <c r="B50" s="11" t="s">
        <v>512</v>
      </c>
      <c r="C50" s="11" t="s">
        <v>270</v>
      </c>
      <c r="D50" s="11" t="s">
        <v>512</v>
      </c>
      <c r="E50" s="11" t="s">
        <v>271</v>
      </c>
      <c r="F50" s="11">
        <v>7276952151</v>
      </c>
      <c r="G50" s="11" t="s">
        <v>61</v>
      </c>
      <c r="H50" s="11" t="s">
        <v>246</v>
      </c>
      <c r="I50" s="11" t="s">
        <v>63</v>
      </c>
      <c r="J50" s="11" t="s">
        <v>513</v>
      </c>
      <c r="K50" s="35" t="s">
        <v>514</v>
      </c>
      <c r="L50" s="11"/>
      <c r="M50" s="27"/>
      <c r="N50" s="27"/>
      <c r="O50" s="27"/>
      <c r="P50" s="27"/>
      <c r="Q50" s="27"/>
      <c r="R50" s="27"/>
    </row>
    <row r="51" spans="1:18" ht="22.5" customHeight="1" x14ac:dyDescent="0.25">
      <c r="A51" s="29">
        <v>46245.413364444445</v>
      </c>
      <c r="B51" s="11" t="s">
        <v>515</v>
      </c>
      <c r="C51" s="11" t="s">
        <v>139</v>
      </c>
      <c r="D51" s="11" t="s">
        <v>515</v>
      </c>
      <c r="E51" s="11" t="s">
        <v>140</v>
      </c>
      <c r="F51" s="11">
        <v>8591912972</v>
      </c>
      <c r="G51" s="11" t="s">
        <v>61</v>
      </c>
      <c r="H51" s="11" t="s">
        <v>62</v>
      </c>
      <c r="I51" s="11" t="s">
        <v>63</v>
      </c>
      <c r="J51" s="11">
        <v>3500</v>
      </c>
      <c r="K51" s="35" t="s">
        <v>516</v>
      </c>
      <c r="L51" s="11"/>
      <c r="M51" s="27"/>
      <c r="N51" s="27"/>
      <c r="O51" s="27"/>
      <c r="P51" s="27"/>
      <c r="Q51" s="27"/>
      <c r="R51" s="27"/>
    </row>
    <row r="52" spans="1:18" ht="22.5" customHeight="1" x14ac:dyDescent="0.25">
      <c r="A52" s="29">
        <v>46244.985031076387</v>
      </c>
      <c r="B52" s="11" t="s">
        <v>517</v>
      </c>
      <c r="C52" s="11" t="s">
        <v>141</v>
      </c>
      <c r="D52" s="11" t="s">
        <v>518</v>
      </c>
      <c r="E52" s="11" t="s">
        <v>142</v>
      </c>
      <c r="F52" s="11">
        <v>9082600984</v>
      </c>
      <c r="G52" s="11" t="s">
        <v>61</v>
      </c>
      <c r="H52" s="11" t="s">
        <v>62</v>
      </c>
      <c r="I52" s="11" t="s">
        <v>63</v>
      </c>
      <c r="J52" s="11">
        <v>3500</v>
      </c>
      <c r="K52" s="35" t="s">
        <v>519</v>
      </c>
      <c r="L52" s="11"/>
      <c r="M52" s="27"/>
      <c r="N52" s="27"/>
      <c r="O52" s="27"/>
      <c r="P52" s="27"/>
      <c r="Q52" s="27"/>
      <c r="R52" s="27"/>
    </row>
    <row r="53" spans="1:18" ht="22.5" customHeight="1" x14ac:dyDescent="0.25">
      <c r="A53" s="29">
        <v>46244.925846423612</v>
      </c>
      <c r="B53" s="11" t="s">
        <v>520</v>
      </c>
      <c r="C53" s="11" t="s">
        <v>36</v>
      </c>
      <c r="D53" s="11" t="s">
        <v>520</v>
      </c>
      <c r="E53" s="11" t="s">
        <v>38</v>
      </c>
      <c r="F53" s="11">
        <v>7021472772</v>
      </c>
      <c r="G53" s="11" t="s">
        <v>61</v>
      </c>
      <c r="H53" s="11" t="s">
        <v>21</v>
      </c>
      <c r="I53" s="11" t="s">
        <v>63</v>
      </c>
      <c r="J53" s="11" t="s">
        <v>469</v>
      </c>
      <c r="K53" s="35" t="s">
        <v>521</v>
      </c>
      <c r="L53" s="11"/>
      <c r="M53" s="27"/>
      <c r="N53" s="27"/>
      <c r="O53" s="27"/>
      <c r="P53" s="27"/>
      <c r="Q53" s="27"/>
      <c r="R53" s="27"/>
    </row>
    <row r="54" spans="1:18" ht="22.5" customHeight="1" x14ac:dyDescent="0.25">
      <c r="A54" s="29">
        <v>46244.890121550925</v>
      </c>
      <c r="B54" s="11" t="s">
        <v>522</v>
      </c>
      <c r="C54" s="11" t="s">
        <v>340</v>
      </c>
      <c r="D54" s="11" t="s">
        <v>523</v>
      </c>
      <c r="E54" s="11" t="s">
        <v>341</v>
      </c>
      <c r="F54" s="11">
        <v>9156680305</v>
      </c>
      <c r="G54" s="11" t="s">
        <v>61</v>
      </c>
      <c r="H54" s="11" t="s">
        <v>192</v>
      </c>
      <c r="I54" s="11" t="s">
        <v>63</v>
      </c>
      <c r="J54" s="11">
        <v>3500</v>
      </c>
      <c r="K54" s="35" t="s">
        <v>524</v>
      </c>
      <c r="L54" s="11"/>
      <c r="M54" s="27"/>
      <c r="N54" s="27"/>
      <c r="O54" s="27"/>
      <c r="P54" s="27"/>
      <c r="Q54" s="27"/>
      <c r="R54" s="27"/>
    </row>
    <row r="55" spans="1:18" ht="22.5" customHeight="1" x14ac:dyDescent="0.25">
      <c r="A55" s="29">
        <v>46244.87960803241</v>
      </c>
      <c r="B55" s="11" t="s">
        <v>525</v>
      </c>
      <c r="C55" s="11" t="s">
        <v>342</v>
      </c>
      <c r="D55" s="11" t="s">
        <v>525</v>
      </c>
      <c r="E55" s="11" t="s">
        <v>343</v>
      </c>
      <c r="F55" s="11">
        <v>8108362135</v>
      </c>
      <c r="G55" s="11" t="s">
        <v>61</v>
      </c>
      <c r="H55" s="11" t="s">
        <v>192</v>
      </c>
      <c r="I55" s="11" t="s">
        <v>63</v>
      </c>
      <c r="J55" s="11" t="s">
        <v>526</v>
      </c>
      <c r="K55" s="35" t="s">
        <v>527</v>
      </c>
      <c r="L55" s="11"/>
      <c r="M55" s="27"/>
      <c r="N55" s="27"/>
      <c r="O55" s="27"/>
      <c r="P55" s="27"/>
      <c r="Q55" s="27"/>
      <c r="R55" s="27"/>
    </row>
    <row r="56" spans="1:18" ht="22.5" customHeight="1" x14ac:dyDescent="0.25">
      <c r="A56" s="29">
        <v>46244.86612233796</v>
      </c>
      <c r="B56" s="11" t="s">
        <v>528</v>
      </c>
      <c r="C56" s="11" t="s">
        <v>143</v>
      </c>
      <c r="D56" s="11" t="s">
        <v>528</v>
      </c>
      <c r="E56" s="11" t="s">
        <v>144</v>
      </c>
      <c r="F56" s="11">
        <v>9325937071</v>
      </c>
      <c r="G56" s="11" t="s">
        <v>61</v>
      </c>
      <c r="H56" s="11" t="s">
        <v>62</v>
      </c>
      <c r="I56" s="11" t="s">
        <v>63</v>
      </c>
      <c r="J56" s="11" t="s">
        <v>413</v>
      </c>
      <c r="K56" s="35" t="s">
        <v>529</v>
      </c>
      <c r="L56" s="11"/>
      <c r="M56" s="27"/>
      <c r="N56" s="27"/>
      <c r="O56" s="27"/>
      <c r="P56" s="27"/>
      <c r="Q56" s="27"/>
      <c r="R56" s="27"/>
    </row>
    <row r="57" spans="1:18" ht="22.5" customHeight="1" x14ac:dyDescent="0.25">
      <c r="A57" s="29">
        <v>46244.854655034724</v>
      </c>
      <c r="B57" s="11" t="s">
        <v>530</v>
      </c>
      <c r="C57" s="11" t="s">
        <v>272</v>
      </c>
      <c r="D57" s="11" t="s">
        <v>530</v>
      </c>
      <c r="E57" s="11" t="s">
        <v>273</v>
      </c>
      <c r="F57" s="11">
        <v>9082413633</v>
      </c>
      <c r="G57" s="11" t="s">
        <v>61</v>
      </c>
      <c r="H57" s="11" t="s">
        <v>246</v>
      </c>
      <c r="I57" s="11" t="s">
        <v>63</v>
      </c>
      <c r="J57" s="11" t="s">
        <v>413</v>
      </c>
      <c r="K57" s="35" t="s">
        <v>531</v>
      </c>
      <c r="L57" s="11"/>
      <c r="M57" s="27"/>
      <c r="N57" s="27"/>
      <c r="O57" s="27"/>
      <c r="P57" s="27"/>
      <c r="Q57" s="27"/>
      <c r="R57" s="27"/>
    </row>
    <row r="58" spans="1:18" ht="22.5" customHeight="1" x14ac:dyDescent="0.25">
      <c r="A58" s="29">
        <v>46244.83212994213</v>
      </c>
      <c r="B58" s="11" t="s">
        <v>532</v>
      </c>
      <c r="C58" s="11" t="s">
        <v>39</v>
      </c>
      <c r="D58" s="11" t="s">
        <v>533</v>
      </c>
      <c r="E58" s="11" t="s">
        <v>40</v>
      </c>
      <c r="F58" s="11">
        <v>8369926234</v>
      </c>
      <c r="G58" s="11" t="s">
        <v>61</v>
      </c>
      <c r="H58" s="11" t="s">
        <v>21</v>
      </c>
      <c r="I58" s="11" t="s">
        <v>63</v>
      </c>
      <c r="J58" s="11">
        <v>3500</v>
      </c>
      <c r="K58" s="35" t="s">
        <v>534</v>
      </c>
      <c r="L58" s="11"/>
      <c r="M58" s="27"/>
      <c r="N58" s="27"/>
      <c r="O58" s="27"/>
      <c r="P58" s="27"/>
      <c r="Q58" s="27"/>
      <c r="R58" s="27"/>
    </row>
    <row r="59" spans="1:18" ht="22.5" customHeight="1" x14ac:dyDescent="0.25">
      <c r="A59" s="29">
        <v>46244.82516158565</v>
      </c>
      <c r="B59" s="11" t="s">
        <v>535</v>
      </c>
      <c r="C59" s="11" t="s">
        <v>41</v>
      </c>
      <c r="D59" s="11" t="s">
        <v>535</v>
      </c>
      <c r="E59" s="11" t="s">
        <v>42</v>
      </c>
      <c r="F59" s="11">
        <v>8108967957</v>
      </c>
      <c r="G59" s="11" t="s">
        <v>61</v>
      </c>
      <c r="H59" s="11" t="s">
        <v>21</v>
      </c>
      <c r="I59" s="11" t="s">
        <v>63</v>
      </c>
      <c r="J59" s="11" t="s">
        <v>104</v>
      </c>
      <c r="K59" s="35" t="s">
        <v>536</v>
      </c>
      <c r="L59" s="11"/>
    </row>
    <row r="60" spans="1:18" ht="22.5" customHeight="1" x14ac:dyDescent="0.25">
      <c r="A60" s="29">
        <v>46244.819073923616</v>
      </c>
      <c r="B60" s="11" t="s">
        <v>537</v>
      </c>
      <c r="C60" s="11" t="s">
        <v>145</v>
      </c>
      <c r="D60" s="11" t="s">
        <v>538</v>
      </c>
      <c r="E60" s="11" t="s">
        <v>146</v>
      </c>
      <c r="F60" s="11">
        <v>8369741372</v>
      </c>
      <c r="G60" s="11" t="s">
        <v>61</v>
      </c>
      <c r="H60" s="11" t="s">
        <v>62</v>
      </c>
      <c r="I60" s="11" t="s">
        <v>63</v>
      </c>
      <c r="J60" s="11">
        <v>3500</v>
      </c>
      <c r="K60" s="35" t="s">
        <v>539</v>
      </c>
      <c r="L60" s="11"/>
    </row>
    <row r="61" spans="1:18" ht="22.5" customHeight="1" x14ac:dyDescent="0.25">
      <c r="A61" s="29">
        <v>46244.808810162038</v>
      </c>
      <c r="B61" s="11" t="s">
        <v>540</v>
      </c>
      <c r="C61" s="11" t="s">
        <v>344</v>
      </c>
      <c r="D61" s="11" t="s">
        <v>540</v>
      </c>
      <c r="E61" s="11" t="s">
        <v>345</v>
      </c>
      <c r="F61" s="11">
        <v>8108470263</v>
      </c>
      <c r="G61" s="11" t="s">
        <v>61</v>
      </c>
      <c r="H61" s="11" t="s">
        <v>192</v>
      </c>
      <c r="I61" s="11" t="s">
        <v>63</v>
      </c>
      <c r="J61" s="11" t="s">
        <v>104</v>
      </c>
      <c r="K61" s="35" t="s">
        <v>541</v>
      </c>
      <c r="L61" s="11"/>
    </row>
    <row r="62" spans="1:18" ht="22.5" customHeight="1" x14ac:dyDescent="0.25">
      <c r="A62" s="29">
        <v>46244.800796192125</v>
      </c>
      <c r="B62" s="11" t="s">
        <v>542</v>
      </c>
      <c r="C62" s="11" t="s">
        <v>148</v>
      </c>
      <c r="D62" s="11" t="s">
        <v>542</v>
      </c>
      <c r="E62" s="11" t="s">
        <v>149</v>
      </c>
      <c r="F62" s="11">
        <v>9769741223</v>
      </c>
      <c r="G62" s="11" t="s">
        <v>61</v>
      </c>
      <c r="H62" s="11" t="s">
        <v>62</v>
      </c>
      <c r="I62" s="11" t="s">
        <v>63</v>
      </c>
      <c r="J62" s="11" t="s">
        <v>104</v>
      </c>
      <c r="K62" s="35" t="s">
        <v>543</v>
      </c>
      <c r="L62" s="11"/>
    </row>
    <row r="63" spans="1:18" ht="22.5" customHeight="1" x14ac:dyDescent="0.25">
      <c r="A63" s="29">
        <v>46244.798852511572</v>
      </c>
      <c r="B63" s="11" t="s">
        <v>544</v>
      </c>
      <c r="C63" s="11" t="s">
        <v>150</v>
      </c>
      <c r="D63" s="11" t="s">
        <v>544</v>
      </c>
      <c r="E63" s="11" t="s">
        <v>151</v>
      </c>
      <c r="F63" s="11">
        <v>8767949474</v>
      </c>
      <c r="G63" s="11" t="s">
        <v>61</v>
      </c>
      <c r="H63" s="11" t="s">
        <v>62</v>
      </c>
      <c r="I63" s="11" t="s">
        <v>63</v>
      </c>
      <c r="J63" s="63">
        <v>3500</v>
      </c>
      <c r="K63" s="35" t="s">
        <v>545</v>
      </c>
      <c r="L63" s="11"/>
    </row>
    <row r="64" spans="1:18" ht="22.5" customHeight="1" x14ac:dyDescent="0.25">
      <c r="A64" s="29">
        <v>46244.79862050926</v>
      </c>
      <c r="B64" s="11" t="s">
        <v>546</v>
      </c>
      <c r="C64" s="11" t="s">
        <v>346</v>
      </c>
      <c r="D64" s="11" t="s">
        <v>546</v>
      </c>
      <c r="E64" s="11" t="s">
        <v>347</v>
      </c>
      <c r="F64" s="11">
        <v>8169347565</v>
      </c>
      <c r="G64" s="11" t="s">
        <v>61</v>
      </c>
      <c r="H64" s="11" t="s">
        <v>192</v>
      </c>
      <c r="I64" s="11" t="s">
        <v>63</v>
      </c>
      <c r="J64" s="11" t="s">
        <v>547</v>
      </c>
      <c r="K64" s="35" t="s">
        <v>548</v>
      </c>
      <c r="L64" s="11"/>
    </row>
    <row r="65" spans="1:12" ht="22.5" customHeight="1" x14ac:dyDescent="0.25">
      <c r="A65" s="29">
        <v>46244.792343472218</v>
      </c>
      <c r="B65" s="11" t="s">
        <v>549</v>
      </c>
      <c r="C65" s="11" t="s">
        <v>152</v>
      </c>
      <c r="D65" s="11" t="s">
        <v>549</v>
      </c>
      <c r="E65" s="11" t="s">
        <v>153</v>
      </c>
      <c r="F65" s="11">
        <v>8108177441</v>
      </c>
      <c r="G65" s="11" t="s">
        <v>61</v>
      </c>
      <c r="H65" s="11" t="s">
        <v>62</v>
      </c>
      <c r="I65" s="11" t="s">
        <v>63</v>
      </c>
      <c r="J65" s="11" t="s">
        <v>550</v>
      </c>
      <c r="K65" s="35" t="s">
        <v>551</v>
      </c>
      <c r="L65" s="11"/>
    </row>
    <row r="66" spans="1:12" ht="22.5" customHeight="1" x14ac:dyDescent="0.25">
      <c r="A66" s="29">
        <v>46244.782618530095</v>
      </c>
      <c r="B66" s="11" t="s">
        <v>552</v>
      </c>
      <c r="C66" s="11" t="s">
        <v>348</v>
      </c>
      <c r="D66" s="11" t="s">
        <v>553</v>
      </c>
      <c r="E66" s="11" t="s">
        <v>349</v>
      </c>
      <c r="F66" s="11">
        <v>9326899522</v>
      </c>
      <c r="G66" s="11" t="s">
        <v>61</v>
      </c>
      <c r="H66" s="11" t="s">
        <v>192</v>
      </c>
      <c r="I66" s="11" t="s">
        <v>63</v>
      </c>
      <c r="J66" s="11" t="s">
        <v>104</v>
      </c>
      <c r="K66" s="35" t="s">
        <v>554</v>
      </c>
      <c r="L66" s="11"/>
    </row>
    <row r="67" spans="1:12" ht="22.5" customHeight="1" x14ac:dyDescent="0.25">
      <c r="A67" s="29">
        <v>46244.640769398145</v>
      </c>
      <c r="B67" s="11" t="s">
        <v>555</v>
      </c>
      <c r="C67" s="11" t="s">
        <v>154</v>
      </c>
      <c r="D67" s="11" t="s">
        <v>555</v>
      </c>
      <c r="E67" s="11" t="s">
        <v>155</v>
      </c>
      <c r="F67" s="11">
        <v>9653228849</v>
      </c>
      <c r="G67" s="11" t="s">
        <v>61</v>
      </c>
      <c r="H67" s="11" t="s">
        <v>62</v>
      </c>
      <c r="I67" s="11" t="s">
        <v>63</v>
      </c>
      <c r="J67" s="11" t="s">
        <v>556</v>
      </c>
      <c r="K67" s="35" t="s">
        <v>557</v>
      </c>
      <c r="L67" s="11"/>
    </row>
    <row r="68" spans="1:12" ht="22.5" customHeight="1" x14ac:dyDescent="0.25">
      <c r="A68" s="29">
        <v>46244.562882418977</v>
      </c>
      <c r="B68" s="11" t="s">
        <v>558</v>
      </c>
      <c r="C68" s="11" t="s">
        <v>156</v>
      </c>
      <c r="D68" s="11" t="s">
        <v>559</v>
      </c>
      <c r="E68" s="11" t="s">
        <v>157</v>
      </c>
      <c r="F68" s="11">
        <v>8879111540</v>
      </c>
      <c r="G68" s="11" t="s">
        <v>61</v>
      </c>
      <c r="H68" s="11" t="s">
        <v>62</v>
      </c>
      <c r="I68" s="11" t="s">
        <v>63</v>
      </c>
      <c r="J68" s="11" t="s">
        <v>469</v>
      </c>
      <c r="K68" s="35" t="s">
        <v>560</v>
      </c>
      <c r="L68" s="11"/>
    </row>
    <row r="69" spans="1:12" ht="22.5" customHeight="1" x14ac:dyDescent="0.25">
      <c r="A69" s="29">
        <v>46244.554048460646</v>
      </c>
      <c r="B69" s="11" t="s">
        <v>561</v>
      </c>
      <c r="C69" s="11" t="s">
        <v>159</v>
      </c>
      <c r="D69" s="11" t="s">
        <v>561</v>
      </c>
      <c r="E69" s="11" t="s">
        <v>160</v>
      </c>
      <c r="F69" s="11">
        <v>9137922617</v>
      </c>
      <c r="G69" s="11" t="s">
        <v>61</v>
      </c>
      <c r="H69" s="11" t="s">
        <v>62</v>
      </c>
      <c r="I69" s="11" t="s">
        <v>63</v>
      </c>
      <c r="J69" s="11" t="s">
        <v>562</v>
      </c>
      <c r="K69" s="35" t="s">
        <v>563</v>
      </c>
      <c r="L69" s="11" t="s">
        <v>466</v>
      </c>
    </row>
    <row r="70" spans="1:12" ht="22.5" customHeight="1" x14ac:dyDescent="0.25">
      <c r="A70" s="29">
        <v>46244.547855613426</v>
      </c>
      <c r="B70" s="11" t="s">
        <v>564</v>
      </c>
      <c r="C70" s="11" t="s">
        <v>161</v>
      </c>
      <c r="D70" s="11" t="s">
        <v>565</v>
      </c>
      <c r="E70" s="11" t="s">
        <v>162</v>
      </c>
      <c r="F70" s="11">
        <v>9930852966</v>
      </c>
      <c r="G70" s="11" t="s">
        <v>61</v>
      </c>
      <c r="H70" s="11" t="s">
        <v>62</v>
      </c>
      <c r="I70" s="11" t="s">
        <v>63</v>
      </c>
      <c r="J70" s="11" t="s">
        <v>566</v>
      </c>
      <c r="K70" s="35" t="s">
        <v>567</v>
      </c>
      <c r="L70" s="11"/>
    </row>
    <row r="71" spans="1:12" ht="22.5" customHeight="1" x14ac:dyDescent="0.25">
      <c r="A71" s="29">
        <v>46244.53667509259</v>
      </c>
      <c r="B71" s="11" t="s">
        <v>568</v>
      </c>
      <c r="C71" s="11" t="s">
        <v>163</v>
      </c>
      <c r="D71" s="11" t="s">
        <v>568</v>
      </c>
      <c r="E71" s="11" t="s">
        <v>164</v>
      </c>
      <c r="F71" s="11">
        <v>9930180889</v>
      </c>
      <c r="G71" s="11" t="s">
        <v>61</v>
      </c>
      <c r="H71" s="11" t="s">
        <v>62</v>
      </c>
      <c r="I71" s="11" t="s">
        <v>63</v>
      </c>
      <c r="J71" s="11" t="s">
        <v>569</v>
      </c>
      <c r="K71" s="35" t="s">
        <v>570</v>
      </c>
      <c r="L71" s="11" t="s">
        <v>571</v>
      </c>
    </row>
    <row r="72" spans="1:12" ht="22.5" customHeight="1" x14ac:dyDescent="0.25">
      <c r="A72" s="29">
        <v>46244.521966689819</v>
      </c>
      <c r="B72" s="11" t="s">
        <v>572</v>
      </c>
      <c r="C72" s="11" t="s">
        <v>274</v>
      </c>
      <c r="D72" s="11" t="s">
        <v>572</v>
      </c>
      <c r="E72" s="11" t="s">
        <v>275</v>
      </c>
      <c r="F72" s="11">
        <v>9769697836</v>
      </c>
      <c r="G72" s="11" t="s">
        <v>61</v>
      </c>
      <c r="H72" s="11" t="s">
        <v>246</v>
      </c>
      <c r="I72" s="11" t="s">
        <v>63</v>
      </c>
      <c r="J72" s="11" t="s">
        <v>461</v>
      </c>
      <c r="K72" s="35" t="s">
        <v>573</v>
      </c>
      <c r="L72" s="11"/>
    </row>
    <row r="73" spans="1:12" ht="22.5" customHeight="1" x14ac:dyDescent="0.25">
      <c r="A73" s="29">
        <v>46244.013990578707</v>
      </c>
      <c r="B73" s="11" t="s">
        <v>574</v>
      </c>
      <c r="C73" s="11" t="s">
        <v>350</v>
      </c>
      <c r="D73" s="11" t="s">
        <v>574</v>
      </c>
      <c r="E73" s="11" t="s">
        <v>351</v>
      </c>
      <c r="F73" s="11">
        <v>9321650356</v>
      </c>
      <c r="G73" s="11" t="s">
        <v>61</v>
      </c>
      <c r="H73" s="11" t="s">
        <v>192</v>
      </c>
      <c r="I73" s="11" t="s">
        <v>63</v>
      </c>
      <c r="J73" s="11" t="s">
        <v>575</v>
      </c>
      <c r="K73" s="35" t="s">
        <v>576</v>
      </c>
      <c r="L73" s="11"/>
    </row>
    <row r="74" spans="1:12" ht="22.5" customHeight="1" x14ac:dyDescent="0.25">
      <c r="A74" s="29">
        <v>46243.958279583334</v>
      </c>
      <c r="B74" s="11" t="s">
        <v>577</v>
      </c>
      <c r="C74" s="11" t="s">
        <v>165</v>
      </c>
      <c r="D74" s="11" t="s">
        <v>577</v>
      </c>
      <c r="E74" s="11" t="s">
        <v>166</v>
      </c>
      <c r="F74" s="11">
        <v>7021145043</v>
      </c>
      <c r="G74" s="11" t="s">
        <v>61</v>
      </c>
      <c r="H74" s="11" t="s">
        <v>62</v>
      </c>
      <c r="I74" s="11" t="s">
        <v>63</v>
      </c>
      <c r="J74" s="11" t="s">
        <v>109</v>
      </c>
      <c r="K74" s="35" t="s">
        <v>578</v>
      </c>
      <c r="L74" s="11"/>
    </row>
    <row r="75" spans="1:12" ht="22.5" customHeight="1" x14ac:dyDescent="0.25">
      <c r="A75" s="29">
        <v>46243.922499768523</v>
      </c>
      <c r="B75" s="11" t="s">
        <v>579</v>
      </c>
      <c r="C75" s="11" t="s">
        <v>167</v>
      </c>
      <c r="D75" s="11" t="s">
        <v>579</v>
      </c>
      <c r="E75" s="11" t="s">
        <v>168</v>
      </c>
      <c r="F75" s="11">
        <v>8169157085</v>
      </c>
      <c r="G75" s="11" t="s">
        <v>61</v>
      </c>
      <c r="H75" s="11" t="s">
        <v>62</v>
      </c>
      <c r="I75" s="11" t="s">
        <v>63</v>
      </c>
      <c r="J75" s="11" t="s">
        <v>440</v>
      </c>
      <c r="K75" s="35" t="s">
        <v>580</v>
      </c>
      <c r="L75" s="11"/>
    </row>
    <row r="76" spans="1:12" ht="22.5" customHeight="1" x14ac:dyDescent="0.25">
      <c r="A76" s="29">
        <v>46243.880691840277</v>
      </c>
      <c r="B76" s="11" t="s">
        <v>581</v>
      </c>
      <c r="C76" s="11" t="s">
        <v>276</v>
      </c>
      <c r="D76" s="11" t="s">
        <v>581</v>
      </c>
      <c r="E76" s="11" t="s">
        <v>277</v>
      </c>
      <c r="F76" s="11">
        <v>9702736674</v>
      </c>
      <c r="G76" s="11" t="s">
        <v>61</v>
      </c>
      <c r="H76" s="11" t="s">
        <v>246</v>
      </c>
      <c r="I76" s="11" t="s">
        <v>63</v>
      </c>
      <c r="J76" s="11" t="s">
        <v>582</v>
      </c>
      <c r="K76" s="35" t="s">
        <v>583</v>
      </c>
      <c r="L76" s="11"/>
    </row>
    <row r="77" spans="1:12" ht="22.5" customHeight="1" x14ac:dyDescent="0.25">
      <c r="A77" s="29">
        <v>46243.842514374999</v>
      </c>
      <c r="B77" s="11" t="s">
        <v>584</v>
      </c>
      <c r="C77" s="11" t="s">
        <v>169</v>
      </c>
      <c r="D77" s="11" t="s">
        <v>584</v>
      </c>
      <c r="E77" s="11" t="s">
        <v>170</v>
      </c>
      <c r="F77" s="11">
        <v>9822460453</v>
      </c>
      <c r="G77" s="11" t="s">
        <v>61</v>
      </c>
      <c r="H77" s="11" t="s">
        <v>62</v>
      </c>
      <c r="I77" s="11" t="s">
        <v>63</v>
      </c>
      <c r="J77" s="11">
        <v>3500</v>
      </c>
      <c r="K77" s="35" t="s">
        <v>585</v>
      </c>
      <c r="L77" s="11"/>
    </row>
    <row r="78" spans="1:12" ht="22.5" customHeight="1" x14ac:dyDescent="0.25">
      <c r="A78" s="29">
        <v>46243.829337164352</v>
      </c>
      <c r="B78" s="11" t="s">
        <v>586</v>
      </c>
      <c r="C78" s="11" t="s">
        <v>171</v>
      </c>
      <c r="D78" s="11" t="s">
        <v>586</v>
      </c>
      <c r="E78" s="11" t="s">
        <v>172</v>
      </c>
      <c r="F78" s="11">
        <v>9987502452</v>
      </c>
      <c r="G78" s="11" t="s">
        <v>61</v>
      </c>
      <c r="H78" s="11" t="s">
        <v>62</v>
      </c>
      <c r="I78" s="11" t="s">
        <v>63</v>
      </c>
      <c r="J78" s="11" t="s">
        <v>109</v>
      </c>
      <c r="K78" s="35" t="s">
        <v>587</v>
      </c>
      <c r="L78" s="11"/>
    </row>
    <row r="79" spans="1:12" ht="22.5" customHeight="1" x14ac:dyDescent="0.25">
      <c r="A79" s="29">
        <v>46243.82469212963</v>
      </c>
      <c r="B79" s="11" t="s">
        <v>588</v>
      </c>
      <c r="C79" s="11" t="s">
        <v>278</v>
      </c>
      <c r="D79" s="11" t="s">
        <v>588</v>
      </c>
      <c r="E79" s="11" t="s">
        <v>279</v>
      </c>
      <c r="F79" s="11">
        <v>8424849235</v>
      </c>
      <c r="G79" s="11" t="s">
        <v>61</v>
      </c>
      <c r="H79" s="11" t="s">
        <v>246</v>
      </c>
      <c r="I79" s="11" t="s">
        <v>63</v>
      </c>
      <c r="J79" s="11" t="s">
        <v>104</v>
      </c>
      <c r="K79" s="35" t="s">
        <v>589</v>
      </c>
      <c r="L79" s="11"/>
    </row>
    <row r="80" spans="1:12" ht="22.5" customHeight="1" x14ac:dyDescent="0.25">
      <c r="A80" s="29">
        <v>46243.821910879633</v>
      </c>
      <c r="B80" s="11" t="s">
        <v>590</v>
      </c>
      <c r="C80" s="11" t="s">
        <v>280</v>
      </c>
      <c r="D80" s="11" t="s">
        <v>590</v>
      </c>
      <c r="E80" s="11" t="s">
        <v>281</v>
      </c>
      <c r="F80" s="11">
        <v>9372970230</v>
      </c>
      <c r="G80" s="11" t="s">
        <v>61</v>
      </c>
      <c r="H80" s="11" t="s">
        <v>246</v>
      </c>
      <c r="I80" s="11" t="s">
        <v>63</v>
      </c>
      <c r="J80" s="11" t="s">
        <v>440</v>
      </c>
      <c r="K80" s="35" t="s">
        <v>591</v>
      </c>
      <c r="L80" s="11"/>
    </row>
    <row r="81" spans="1:12" ht="22.5" customHeight="1" x14ac:dyDescent="0.25">
      <c r="A81" s="29">
        <v>46243.680230983795</v>
      </c>
      <c r="B81" s="11" t="s">
        <v>592</v>
      </c>
      <c r="C81" s="11" t="s">
        <v>352</v>
      </c>
      <c r="D81" s="11" t="s">
        <v>592</v>
      </c>
      <c r="E81" s="11" t="s">
        <v>353</v>
      </c>
      <c r="F81" s="11">
        <v>9967825092</v>
      </c>
      <c r="G81" s="11" t="s">
        <v>61</v>
      </c>
      <c r="H81" s="11" t="s">
        <v>192</v>
      </c>
      <c r="I81" s="11" t="s">
        <v>63</v>
      </c>
      <c r="J81" s="11" t="s">
        <v>104</v>
      </c>
      <c r="K81" s="35" t="s">
        <v>593</v>
      </c>
      <c r="L81" s="11"/>
    </row>
    <row r="82" spans="1:12" ht="22.5" customHeight="1" x14ac:dyDescent="0.25">
      <c r="A82" s="29">
        <v>46243.533052824074</v>
      </c>
      <c r="B82" s="11" t="s">
        <v>595</v>
      </c>
      <c r="C82" s="11" t="s">
        <v>173</v>
      </c>
      <c r="D82" s="11" t="s">
        <v>595</v>
      </c>
      <c r="E82" s="11" t="s">
        <v>174</v>
      </c>
      <c r="F82" s="11">
        <v>9076219025</v>
      </c>
      <c r="G82" s="11" t="s">
        <v>61</v>
      </c>
      <c r="H82" s="11" t="s">
        <v>62</v>
      </c>
      <c r="I82" s="11" t="s">
        <v>63</v>
      </c>
      <c r="J82" s="11" t="s">
        <v>449</v>
      </c>
      <c r="K82" s="35" t="s">
        <v>596</v>
      </c>
      <c r="L82" s="11"/>
    </row>
    <row r="83" spans="1:12" ht="22.5" customHeight="1" x14ac:dyDescent="0.25">
      <c r="A83" s="29">
        <v>46243.525831423613</v>
      </c>
      <c r="B83" s="11" t="s">
        <v>597</v>
      </c>
      <c r="C83" s="11" t="s">
        <v>282</v>
      </c>
      <c r="D83" s="11" t="s">
        <v>597</v>
      </c>
      <c r="E83" s="11" t="s">
        <v>283</v>
      </c>
      <c r="F83" s="11">
        <v>8369603718</v>
      </c>
      <c r="G83" s="11" t="s">
        <v>61</v>
      </c>
      <c r="H83" s="11" t="s">
        <v>246</v>
      </c>
      <c r="I83" s="11" t="s">
        <v>63</v>
      </c>
      <c r="J83" s="11" t="s">
        <v>104</v>
      </c>
      <c r="K83" s="35" t="s">
        <v>598</v>
      </c>
      <c r="L83" s="11"/>
    </row>
    <row r="84" spans="1:12" ht="22.5" customHeight="1" x14ac:dyDescent="0.25">
      <c r="A84" s="29">
        <v>46242.960489166668</v>
      </c>
      <c r="B84" s="11" t="s">
        <v>599</v>
      </c>
      <c r="C84" s="11" t="s">
        <v>354</v>
      </c>
      <c r="D84" s="11" t="s">
        <v>600</v>
      </c>
      <c r="E84" s="11" t="s">
        <v>355</v>
      </c>
      <c r="F84" s="11">
        <v>9822240877</v>
      </c>
      <c r="G84" s="11" t="s">
        <v>61</v>
      </c>
      <c r="H84" s="11" t="s">
        <v>192</v>
      </c>
      <c r="I84" s="11" t="s">
        <v>63</v>
      </c>
      <c r="J84" s="11" t="s">
        <v>104</v>
      </c>
      <c r="K84" s="35" t="s">
        <v>601</v>
      </c>
      <c r="L84" s="11" t="s">
        <v>602</v>
      </c>
    </row>
    <row r="85" spans="1:12" ht="22.5" customHeight="1" x14ac:dyDescent="0.25">
      <c r="A85" s="29">
        <v>46242.945873680554</v>
      </c>
      <c r="B85" s="11" t="s">
        <v>600</v>
      </c>
      <c r="C85" s="11" t="s">
        <v>356</v>
      </c>
      <c r="D85" s="11" t="s">
        <v>603</v>
      </c>
      <c r="E85" s="11" t="s">
        <v>357</v>
      </c>
      <c r="F85" s="11">
        <v>7021646554</v>
      </c>
      <c r="G85" s="11" t="s">
        <v>61</v>
      </c>
      <c r="H85" s="11" t="s">
        <v>192</v>
      </c>
      <c r="I85" s="11" t="s">
        <v>63</v>
      </c>
      <c r="J85" s="11" t="s">
        <v>449</v>
      </c>
      <c r="K85" s="35" t="s">
        <v>604</v>
      </c>
      <c r="L85" s="11" t="s">
        <v>602</v>
      </c>
    </row>
    <row r="86" spans="1:12" ht="22.5" customHeight="1" x14ac:dyDescent="0.25">
      <c r="A86" s="29">
        <v>46242.891869375002</v>
      </c>
      <c r="B86" s="11" t="s">
        <v>605</v>
      </c>
      <c r="C86" s="11" t="s">
        <v>175</v>
      </c>
      <c r="D86" s="11" t="s">
        <v>605</v>
      </c>
      <c r="E86" s="11" t="s">
        <v>176</v>
      </c>
      <c r="F86" s="11">
        <v>8369598970</v>
      </c>
      <c r="G86" s="11" t="s">
        <v>61</v>
      </c>
      <c r="H86" s="11" t="s">
        <v>62</v>
      </c>
      <c r="I86" s="11" t="s">
        <v>63</v>
      </c>
      <c r="J86" s="11" t="s">
        <v>104</v>
      </c>
      <c r="K86" s="35" t="s">
        <v>606</v>
      </c>
      <c r="L86" s="11"/>
    </row>
    <row r="87" spans="1:12" ht="22.5" customHeight="1" x14ac:dyDescent="0.25">
      <c r="A87" s="29">
        <v>46241.822343356485</v>
      </c>
      <c r="B87" s="11" t="s">
        <v>431</v>
      </c>
      <c r="C87" s="11" t="s">
        <v>178</v>
      </c>
      <c r="D87" s="11" t="s">
        <v>431</v>
      </c>
      <c r="E87" s="11" t="s">
        <v>179</v>
      </c>
      <c r="F87" s="11">
        <v>8928806126</v>
      </c>
      <c r="G87" s="11" t="s">
        <v>61</v>
      </c>
      <c r="H87" s="11" t="s">
        <v>62</v>
      </c>
      <c r="I87" s="11" t="s">
        <v>63</v>
      </c>
      <c r="J87" s="11" t="s">
        <v>449</v>
      </c>
      <c r="K87" s="35" t="s">
        <v>607</v>
      </c>
      <c r="L87" s="11" t="s">
        <v>449</v>
      </c>
    </row>
    <row r="88" spans="1:12" ht="22.5" customHeight="1" x14ac:dyDescent="0.25">
      <c r="A88" s="29">
        <v>46241.816410520834</v>
      </c>
      <c r="B88" s="11" t="s">
        <v>608</v>
      </c>
      <c r="C88" s="11" t="s">
        <v>284</v>
      </c>
      <c r="D88" s="11" t="s">
        <v>608</v>
      </c>
      <c r="E88" s="11" t="s">
        <v>285</v>
      </c>
      <c r="F88" s="11">
        <v>8928972578</v>
      </c>
      <c r="G88" s="11" t="s">
        <v>61</v>
      </c>
      <c r="H88" s="11" t="s">
        <v>246</v>
      </c>
      <c r="I88" s="11" t="s">
        <v>63</v>
      </c>
      <c r="J88" s="11" t="s">
        <v>526</v>
      </c>
      <c r="K88" s="35" t="s">
        <v>609</v>
      </c>
      <c r="L88" s="11"/>
    </row>
    <row r="89" spans="1:12" ht="22.5" customHeight="1" x14ac:dyDescent="0.25">
      <c r="A89" s="29">
        <v>46240.94714517361</v>
      </c>
      <c r="B89" s="11" t="s">
        <v>610</v>
      </c>
      <c r="C89" s="11" t="s">
        <v>383</v>
      </c>
      <c r="D89" s="11" t="s">
        <v>610</v>
      </c>
      <c r="E89" s="11" t="s">
        <v>384</v>
      </c>
      <c r="F89" s="11">
        <v>9336798344</v>
      </c>
      <c r="G89" s="11" t="s">
        <v>61</v>
      </c>
      <c r="H89" s="11" t="s">
        <v>381</v>
      </c>
      <c r="I89" s="11" t="s">
        <v>63</v>
      </c>
      <c r="J89" s="11" t="s">
        <v>611</v>
      </c>
      <c r="K89" s="35" t="s">
        <v>612</v>
      </c>
      <c r="L89" s="11"/>
    </row>
    <row r="90" spans="1:12" ht="22.5" customHeight="1" x14ac:dyDescent="0.25">
      <c r="A90" s="29">
        <v>46240.911943321757</v>
      </c>
      <c r="B90" s="11" t="s">
        <v>476</v>
      </c>
      <c r="C90" s="11" t="s">
        <v>181</v>
      </c>
      <c r="D90" s="11" t="s">
        <v>476</v>
      </c>
      <c r="E90" s="11" t="s">
        <v>182</v>
      </c>
      <c r="F90" s="11">
        <v>7039543590</v>
      </c>
      <c r="G90" s="11" t="s">
        <v>61</v>
      </c>
      <c r="H90" s="11" t="s">
        <v>62</v>
      </c>
      <c r="I90" s="11" t="s">
        <v>63</v>
      </c>
      <c r="J90" s="11" t="s">
        <v>104</v>
      </c>
      <c r="K90" s="35" t="s">
        <v>613</v>
      </c>
      <c r="L90" s="11"/>
    </row>
    <row r="91" spans="1:12" ht="22.5" customHeight="1" x14ac:dyDescent="0.25">
      <c r="A91" s="29">
        <v>46240.889778344907</v>
      </c>
      <c r="B91" s="11" t="s">
        <v>614</v>
      </c>
      <c r="C91" s="11" t="s">
        <v>183</v>
      </c>
      <c r="D91" s="11" t="s">
        <v>614</v>
      </c>
      <c r="E91" s="11" t="s">
        <v>184</v>
      </c>
      <c r="F91" s="11">
        <v>8104878731</v>
      </c>
      <c r="G91" s="11" t="s">
        <v>61</v>
      </c>
      <c r="H91" s="11" t="s">
        <v>62</v>
      </c>
      <c r="I91" s="11" t="s">
        <v>63</v>
      </c>
      <c r="J91" s="11" t="s">
        <v>615</v>
      </c>
      <c r="K91" s="35" t="s">
        <v>616</v>
      </c>
      <c r="L91" s="11"/>
    </row>
    <row r="92" spans="1:12" ht="22.5" customHeight="1" x14ac:dyDescent="0.25">
      <c r="A92" s="29">
        <v>46240.813370405092</v>
      </c>
      <c r="B92" s="11" t="s">
        <v>617</v>
      </c>
      <c r="C92" s="11" t="s">
        <v>43</v>
      </c>
      <c r="D92" s="11" t="s">
        <v>617</v>
      </c>
      <c r="E92" s="11" t="s">
        <v>44</v>
      </c>
      <c r="F92" s="11">
        <v>9867198352</v>
      </c>
      <c r="G92" s="11" t="s">
        <v>61</v>
      </c>
      <c r="H92" s="11" t="s">
        <v>21</v>
      </c>
      <c r="I92" s="11" t="s">
        <v>63</v>
      </c>
      <c r="J92" s="11" t="s">
        <v>109</v>
      </c>
      <c r="K92" s="35" t="s">
        <v>618</v>
      </c>
      <c r="L92" s="11"/>
    </row>
    <row r="93" spans="1:12" ht="22.5" customHeight="1" x14ac:dyDescent="0.25">
      <c r="A93" s="29">
        <v>46240.756413136573</v>
      </c>
      <c r="B93" s="11" t="s">
        <v>619</v>
      </c>
      <c r="C93" s="11" t="s">
        <v>386</v>
      </c>
      <c r="D93" s="11" t="s">
        <v>619</v>
      </c>
      <c r="E93" s="11" t="s">
        <v>387</v>
      </c>
      <c r="F93" s="11">
        <v>8169602972</v>
      </c>
      <c r="G93" s="11" t="s">
        <v>61</v>
      </c>
      <c r="H93" s="11" t="s">
        <v>381</v>
      </c>
      <c r="I93" s="11" t="s">
        <v>63</v>
      </c>
      <c r="J93" s="11" t="s">
        <v>440</v>
      </c>
      <c r="K93" s="35" t="s">
        <v>620</v>
      </c>
      <c r="L93" s="11"/>
    </row>
    <row r="94" spans="1:12" ht="22.5" customHeight="1" x14ac:dyDescent="0.25">
      <c r="A94" s="29">
        <v>46240.695262569439</v>
      </c>
      <c r="B94" s="11" t="s">
        <v>621</v>
      </c>
      <c r="C94" s="11" t="s">
        <v>186</v>
      </c>
      <c r="D94" s="11" t="s">
        <v>621</v>
      </c>
      <c r="E94" s="11" t="s">
        <v>187</v>
      </c>
      <c r="F94" s="11">
        <v>7718005697</v>
      </c>
      <c r="G94" s="11" t="s">
        <v>61</v>
      </c>
      <c r="H94" s="11" t="s">
        <v>62</v>
      </c>
      <c r="I94" s="11" t="s">
        <v>63</v>
      </c>
      <c r="J94" s="11" t="s">
        <v>109</v>
      </c>
      <c r="K94" s="35" t="s">
        <v>622</v>
      </c>
      <c r="L94" s="11"/>
    </row>
    <row r="95" spans="1:12" ht="22.5" customHeight="1" x14ac:dyDescent="0.25">
      <c r="A95" s="29">
        <v>46240.470719409721</v>
      </c>
      <c r="B95" s="11" t="s">
        <v>623</v>
      </c>
      <c r="C95" s="11" t="s">
        <v>388</v>
      </c>
      <c r="D95" s="11" t="s">
        <v>623</v>
      </c>
      <c r="E95" s="11" t="s">
        <v>389</v>
      </c>
      <c r="F95" s="11">
        <v>8928057743</v>
      </c>
      <c r="G95" s="11" t="s">
        <v>61</v>
      </c>
      <c r="H95" s="11" t="s">
        <v>381</v>
      </c>
      <c r="I95" s="11" t="s">
        <v>63</v>
      </c>
      <c r="J95" s="11" t="s">
        <v>440</v>
      </c>
      <c r="K95" s="35" t="s">
        <v>624</v>
      </c>
      <c r="L95" s="11"/>
    </row>
    <row r="96" spans="1:12" ht="22.5" customHeight="1" x14ac:dyDescent="0.25">
      <c r="A96" s="29">
        <v>46239.940070300931</v>
      </c>
      <c r="B96" s="11" t="s">
        <v>625</v>
      </c>
      <c r="C96" s="11" t="s">
        <v>188</v>
      </c>
      <c r="D96" s="11" t="s">
        <v>625</v>
      </c>
      <c r="E96" s="11" t="s">
        <v>189</v>
      </c>
      <c r="F96" s="11">
        <v>7007079982</v>
      </c>
      <c r="G96" s="11" t="s">
        <v>61</v>
      </c>
      <c r="H96" s="11" t="s">
        <v>62</v>
      </c>
      <c r="I96" s="11" t="s">
        <v>63</v>
      </c>
      <c r="J96" s="11" t="s">
        <v>626</v>
      </c>
      <c r="K96" s="35" t="s">
        <v>627</v>
      </c>
      <c r="L96" s="11"/>
    </row>
    <row r="97" spans="1:12" ht="22.5" customHeight="1" x14ac:dyDescent="0.25">
      <c r="A97" s="29">
        <v>46239.91780012731</v>
      </c>
      <c r="B97" s="11" t="s">
        <v>628</v>
      </c>
      <c r="C97" s="11" t="s">
        <v>190</v>
      </c>
      <c r="D97" s="11" t="s">
        <v>629</v>
      </c>
      <c r="E97" s="11" t="s">
        <v>191</v>
      </c>
      <c r="F97" s="11">
        <v>8446930409</v>
      </c>
      <c r="G97" s="11" t="s">
        <v>61</v>
      </c>
      <c r="H97" s="11" t="s">
        <v>62</v>
      </c>
      <c r="I97" s="11" t="s">
        <v>63</v>
      </c>
      <c r="J97" s="11" t="s">
        <v>630</v>
      </c>
      <c r="K97" s="35" t="s">
        <v>631</v>
      </c>
      <c r="L97" s="11"/>
    </row>
    <row r="98" spans="1:12" ht="22.5" customHeight="1" x14ac:dyDescent="0.25">
      <c r="A98" s="29">
        <v>46238.942522141202</v>
      </c>
      <c r="B98" s="11" t="s">
        <v>632</v>
      </c>
      <c r="C98" s="11" t="s">
        <v>193</v>
      </c>
      <c r="D98" s="11" t="s">
        <v>632</v>
      </c>
      <c r="E98" s="11" t="s">
        <v>194</v>
      </c>
      <c r="F98" s="11">
        <v>8169258932</v>
      </c>
      <c r="G98" s="11" t="s">
        <v>61</v>
      </c>
      <c r="H98" s="11" t="s">
        <v>62</v>
      </c>
      <c r="I98" s="11" t="s">
        <v>63</v>
      </c>
      <c r="J98" s="11" t="s">
        <v>469</v>
      </c>
      <c r="K98" s="35" t="s">
        <v>633</v>
      </c>
      <c r="L98" s="11"/>
    </row>
    <row r="99" spans="1:12" ht="22.5" customHeight="1" x14ac:dyDescent="0.25">
      <c r="A99" s="29">
        <v>46238.899560636579</v>
      </c>
      <c r="B99" s="11" t="s">
        <v>634</v>
      </c>
      <c r="C99" s="11" t="s">
        <v>195</v>
      </c>
      <c r="D99" s="11" t="s">
        <v>634</v>
      </c>
      <c r="E99" s="11" t="s">
        <v>196</v>
      </c>
      <c r="F99" s="11">
        <v>9372237518</v>
      </c>
      <c r="G99" s="11" t="s">
        <v>61</v>
      </c>
      <c r="H99" s="11" t="s">
        <v>62</v>
      </c>
      <c r="I99" s="11" t="s">
        <v>63</v>
      </c>
      <c r="J99" s="11" t="s">
        <v>635</v>
      </c>
      <c r="K99" s="35" t="s">
        <v>636</v>
      </c>
      <c r="L99" s="11"/>
    </row>
    <row r="100" spans="1:12" ht="22.5" customHeight="1" x14ac:dyDescent="0.25">
      <c r="A100" s="29">
        <v>46238.825342777782</v>
      </c>
      <c r="B100" s="11" t="s">
        <v>637</v>
      </c>
      <c r="C100" s="11" t="s">
        <v>198</v>
      </c>
      <c r="D100" s="11" t="s">
        <v>637</v>
      </c>
      <c r="E100" s="11" t="s">
        <v>199</v>
      </c>
      <c r="F100" s="11">
        <v>7666013172</v>
      </c>
      <c r="G100" s="11" t="s">
        <v>61</v>
      </c>
      <c r="H100" s="11" t="s">
        <v>62</v>
      </c>
      <c r="I100" s="11" t="s">
        <v>63</v>
      </c>
      <c r="J100" s="11" t="s">
        <v>638</v>
      </c>
      <c r="K100" s="67" t="s">
        <v>639</v>
      </c>
      <c r="L100" s="11"/>
    </row>
    <row r="101" spans="1:12" ht="22.5" customHeight="1" x14ac:dyDescent="0.25">
      <c r="A101" s="29">
        <v>46248.799960902776</v>
      </c>
      <c r="B101" s="11" t="s">
        <v>640</v>
      </c>
      <c r="C101" s="11" t="s">
        <v>201</v>
      </c>
      <c r="D101" s="11" t="s">
        <v>640</v>
      </c>
      <c r="E101" s="11" t="s">
        <v>202</v>
      </c>
      <c r="F101" s="11">
        <v>8928029700</v>
      </c>
      <c r="G101" s="11" t="s">
        <v>61</v>
      </c>
      <c r="H101" s="11" t="s">
        <v>62</v>
      </c>
      <c r="I101" s="11" t="s">
        <v>63</v>
      </c>
      <c r="J101" s="11" t="s">
        <v>641</v>
      </c>
      <c r="K101" s="35" t="s">
        <v>642</v>
      </c>
      <c r="L101" s="11"/>
    </row>
    <row r="102" spans="1:12" ht="22.5" customHeight="1" x14ac:dyDescent="0.25">
      <c r="A102" s="29">
        <v>46248.803671701389</v>
      </c>
      <c r="B102" s="11" t="s">
        <v>643</v>
      </c>
      <c r="C102" s="11" t="s">
        <v>390</v>
      </c>
      <c r="D102" s="11" t="s">
        <v>643</v>
      </c>
      <c r="E102" s="11" t="s">
        <v>391</v>
      </c>
      <c r="F102" s="11">
        <v>9004457842</v>
      </c>
      <c r="G102" s="11" t="s">
        <v>61</v>
      </c>
      <c r="H102" s="11" t="s">
        <v>381</v>
      </c>
      <c r="I102" s="11" t="s">
        <v>63</v>
      </c>
      <c r="J102" s="11" t="s">
        <v>109</v>
      </c>
      <c r="K102" s="35" t="s">
        <v>644</v>
      </c>
      <c r="L102" s="11"/>
    </row>
    <row r="103" spans="1:12" ht="22.5" customHeight="1" x14ac:dyDescent="0.25">
      <c r="A103" s="29">
        <v>46248.826102754625</v>
      </c>
      <c r="B103" s="11" t="s">
        <v>645</v>
      </c>
      <c r="C103" s="11" t="s">
        <v>286</v>
      </c>
      <c r="D103" s="11" t="s">
        <v>645</v>
      </c>
      <c r="E103" s="11" t="s">
        <v>287</v>
      </c>
      <c r="F103" s="11">
        <v>7030988998</v>
      </c>
      <c r="G103" s="11" t="s">
        <v>61</v>
      </c>
      <c r="H103" s="11" t="s">
        <v>246</v>
      </c>
      <c r="I103" s="11" t="s">
        <v>63</v>
      </c>
      <c r="J103" s="11" t="s">
        <v>413</v>
      </c>
      <c r="K103" s="35" t="s">
        <v>646</v>
      </c>
      <c r="L103" s="11"/>
    </row>
    <row r="104" spans="1:12" ht="22.5" customHeight="1" x14ac:dyDescent="0.25">
      <c r="A104" s="68">
        <v>46248.840088715282</v>
      </c>
      <c r="B104" s="69" t="s">
        <v>647</v>
      </c>
      <c r="C104" s="69" t="s">
        <v>204</v>
      </c>
      <c r="D104" s="69" t="s">
        <v>647</v>
      </c>
      <c r="E104" s="69" t="s">
        <v>205</v>
      </c>
      <c r="F104" s="69">
        <v>8850811196</v>
      </c>
      <c r="G104" s="69" t="s">
        <v>61</v>
      </c>
      <c r="H104" s="69" t="s">
        <v>62</v>
      </c>
      <c r="I104" s="69" t="s">
        <v>63</v>
      </c>
      <c r="J104" s="69">
        <v>3500</v>
      </c>
      <c r="K104" s="70" t="s">
        <v>648</v>
      </c>
    </row>
    <row r="105" spans="1:12" ht="22.5" customHeight="1" x14ac:dyDescent="0.25">
      <c r="A105" s="68">
        <v>46248.841691956019</v>
      </c>
      <c r="B105" s="69" t="s">
        <v>649</v>
      </c>
      <c r="C105" s="69" t="s">
        <v>392</v>
      </c>
      <c r="D105" s="69" t="s">
        <v>649</v>
      </c>
      <c r="E105" s="69" t="s">
        <v>393</v>
      </c>
      <c r="F105" s="69">
        <v>9209969299</v>
      </c>
      <c r="G105" s="69" t="s">
        <v>61</v>
      </c>
      <c r="H105" s="69" t="s">
        <v>381</v>
      </c>
      <c r="I105" s="69" t="s">
        <v>63</v>
      </c>
      <c r="J105" s="69" t="s">
        <v>650</v>
      </c>
      <c r="K105" s="70" t="s">
        <v>651</v>
      </c>
    </row>
    <row r="106" spans="1:12" ht="22.5" customHeight="1" x14ac:dyDescent="0.25">
      <c r="A106" s="68">
        <v>46248.842840613426</v>
      </c>
      <c r="B106" s="69" t="s">
        <v>652</v>
      </c>
      <c r="C106" s="69" t="s">
        <v>206</v>
      </c>
      <c r="D106" s="69" t="s">
        <v>652</v>
      </c>
      <c r="E106" s="69" t="s">
        <v>207</v>
      </c>
      <c r="F106" s="69">
        <v>8291329439</v>
      </c>
      <c r="G106" s="69" t="s">
        <v>61</v>
      </c>
      <c r="H106" s="69" t="s">
        <v>62</v>
      </c>
      <c r="I106" s="69" t="s">
        <v>63</v>
      </c>
      <c r="J106" s="69">
        <v>3500</v>
      </c>
      <c r="K106" s="70" t="s">
        <v>653</v>
      </c>
    </row>
    <row r="107" spans="1:12" ht="22.5" customHeight="1" x14ac:dyDescent="0.25">
      <c r="A107" s="68">
        <v>46248.853537824078</v>
      </c>
      <c r="B107" s="69" t="s">
        <v>654</v>
      </c>
      <c r="C107" s="69" t="s">
        <v>208</v>
      </c>
      <c r="D107" s="69" t="s">
        <v>654</v>
      </c>
      <c r="E107" s="69" t="s">
        <v>209</v>
      </c>
      <c r="F107" s="69">
        <v>9321727748</v>
      </c>
      <c r="G107" s="69" t="s">
        <v>61</v>
      </c>
      <c r="H107" s="69" t="s">
        <v>62</v>
      </c>
      <c r="I107" s="69" t="s">
        <v>63</v>
      </c>
      <c r="J107" s="69" t="s">
        <v>63</v>
      </c>
      <c r="K107" s="70" t="s">
        <v>655</v>
      </c>
    </row>
    <row r="108" spans="1:12" ht="22.5" customHeight="1" x14ac:dyDescent="0.25">
      <c r="A108" s="68">
        <v>46248.861167222218</v>
      </c>
      <c r="B108" s="69" t="s">
        <v>656</v>
      </c>
      <c r="C108" s="69" t="s">
        <v>289</v>
      </c>
      <c r="D108" s="69" t="s">
        <v>656</v>
      </c>
      <c r="E108" s="69" t="s">
        <v>290</v>
      </c>
      <c r="F108" s="69">
        <v>7208178218</v>
      </c>
      <c r="G108" s="69" t="s">
        <v>61</v>
      </c>
      <c r="H108" s="69" t="s">
        <v>246</v>
      </c>
      <c r="I108" s="69" t="s">
        <v>63</v>
      </c>
      <c r="J108" s="69" t="s">
        <v>409</v>
      </c>
      <c r="K108" s="70" t="s">
        <v>657</v>
      </c>
    </row>
    <row r="109" spans="1:12" ht="22.5" customHeight="1" x14ac:dyDescent="0.25">
      <c r="A109" s="68">
        <v>46248.868005127311</v>
      </c>
      <c r="B109" s="69" t="s">
        <v>658</v>
      </c>
      <c r="C109" s="69" t="s">
        <v>292</v>
      </c>
      <c r="D109" s="69" t="s">
        <v>658</v>
      </c>
      <c r="E109" s="69" t="s">
        <v>293</v>
      </c>
      <c r="F109" s="69">
        <v>9136103276</v>
      </c>
      <c r="G109" s="69" t="s">
        <v>61</v>
      </c>
      <c r="H109" s="69" t="s">
        <v>246</v>
      </c>
      <c r="I109" s="69" t="s">
        <v>63</v>
      </c>
      <c r="J109" s="69" t="s">
        <v>109</v>
      </c>
      <c r="K109" s="70" t="s">
        <v>659</v>
      </c>
    </row>
    <row r="110" spans="1:12" ht="22.5" customHeight="1" x14ac:dyDescent="0.25">
      <c r="A110" s="68">
        <v>46248.911003333335</v>
      </c>
      <c r="B110" s="69" t="s">
        <v>660</v>
      </c>
      <c r="C110" s="69" t="s">
        <v>359</v>
      </c>
      <c r="D110" s="69" t="s">
        <v>660</v>
      </c>
      <c r="E110" s="69" t="s">
        <v>360</v>
      </c>
      <c r="F110" s="69">
        <v>8828593750</v>
      </c>
      <c r="G110" s="69" t="s">
        <v>61</v>
      </c>
      <c r="H110" s="69" t="s">
        <v>192</v>
      </c>
      <c r="I110" s="69" t="s">
        <v>63</v>
      </c>
      <c r="J110" s="69" t="s">
        <v>661</v>
      </c>
      <c r="K110" s="70" t="s">
        <v>662</v>
      </c>
    </row>
    <row r="111" spans="1:12" ht="22.5" customHeight="1" x14ac:dyDescent="0.25">
      <c r="A111" s="68">
        <v>46248.913652650459</v>
      </c>
      <c r="B111" s="69" t="s">
        <v>663</v>
      </c>
      <c r="C111" s="69" t="s">
        <v>210</v>
      </c>
      <c r="D111" s="69" t="s">
        <v>663</v>
      </c>
      <c r="E111" s="69" t="s">
        <v>211</v>
      </c>
      <c r="F111" s="69">
        <v>8087508532</v>
      </c>
      <c r="G111" s="69" t="s">
        <v>61</v>
      </c>
      <c r="H111" s="69" t="s">
        <v>62</v>
      </c>
      <c r="I111" s="69" t="s">
        <v>63</v>
      </c>
      <c r="J111" s="69">
        <v>3500</v>
      </c>
      <c r="K111" s="70" t="s">
        <v>664</v>
      </c>
    </row>
    <row r="112" spans="1:12" ht="22.5" customHeight="1" x14ac:dyDescent="0.25">
      <c r="A112" s="68">
        <v>46248.921476678239</v>
      </c>
      <c r="B112" s="69" t="s">
        <v>665</v>
      </c>
      <c r="C112" s="69" t="s">
        <v>212</v>
      </c>
      <c r="D112" s="69" t="s">
        <v>665</v>
      </c>
      <c r="E112" s="69" t="s">
        <v>213</v>
      </c>
      <c r="F112" s="69" t="s">
        <v>214</v>
      </c>
      <c r="G112" s="69" t="s">
        <v>61</v>
      </c>
      <c r="H112" s="69" t="s">
        <v>62</v>
      </c>
      <c r="I112" s="69" t="s">
        <v>63</v>
      </c>
      <c r="J112" s="69" t="s">
        <v>666</v>
      </c>
      <c r="K112" s="70" t="s">
        <v>667</v>
      </c>
    </row>
    <row r="113" spans="1:12" ht="22.5" customHeight="1" x14ac:dyDescent="0.25">
      <c r="A113" s="68">
        <v>46248.926000555555</v>
      </c>
      <c r="B113" s="69" t="s">
        <v>668</v>
      </c>
      <c r="C113" s="69" t="s">
        <v>294</v>
      </c>
      <c r="D113" s="69" t="s">
        <v>668</v>
      </c>
      <c r="E113" s="69" t="s">
        <v>295</v>
      </c>
      <c r="F113" s="69">
        <v>8657734516</v>
      </c>
      <c r="G113" s="69" t="s">
        <v>61</v>
      </c>
      <c r="H113" s="69" t="s">
        <v>246</v>
      </c>
      <c r="I113" s="69" t="s">
        <v>63</v>
      </c>
      <c r="J113" s="69" t="s">
        <v>669</v>
      </c>
      <c r="K113" s="70" t="s">
        <v>670</v>
      </c>
    </row>
    <row r="114" spans="1:12" ht="22.5" customHeight="1" x14ac:dyDescent="0.25">
      <c r="A114" s="68">
        <v>46248.927374652776</v>
      </c>
      <c r="B114" s="69" t="s">
        <v>671</v>
      </c>
      <c r="C114" s="69" t="s">
        <v>46</v>
      </c>
      <c r="D114" s="69" t="s">
        <v>671</v>
      </c>
      <c r="E114" s="69" t="s">
        <v>47</v>
      </c>
      <c r="F114" s="69">
        <v>9004989528</v>
      </c>
      <c r="G114" s="69" t="s">
        <v>61</v>
      </c>
      <c r="H114" s="69" t="s">
        <v>21</v>
      </c>
      <c r="I114" s="69" t="s">
        <v>63</v>
      </c>
      <c r="J114" s="69">
        <v>3500</v>
      </c>
      <c r="K114" s="70" t="s">
        <v>672</v>
      </c>
    </row>
    <row r="115" spans="1:12" ht="22.5" customHeight="1" x14ac:dyDescent="0.25">
      <c r="A115" s="68">
        <v>46248.939885462962</v>
      </c>
      <c r="B115" s="69" t="s">
        <v>673</v>
      </c>
      <c r="C115" s="69" t="s">
        <v>395</v>
      </c>
      <c r="D115" s="69" t="s">
        <v>673</v>
      </c>
      <c r="E115" s="69" t="s">
        <v>396</v>
      </c>
      <c r="F115" s="69">
        <v>9137024507</v>
      </c>
      <c r="G115" s="69" t="s">
        <v>61</v>
      </c>
      <c r="H115" s="69" t="s">
        <v>381</v>
      </c>
      <c r="I115" s="69" t="s">
        <v>63</v>
      </c>
      <c r="J115" s="69" t="s">
        <v>674</v>
      </c>
      <c r="K115" s="70" t="s">
        <v>675</v>
      </c>
    </row>
    <row r="116" spans="1:12" ht="22.5" customHeight="1" x14ac:dyDescent="0.25">
      <c r="A116" s="68">
        <v>46248.941550509262</v>
      </c>
      <c r="B116" s="69" t="s">
        <v>676</v>
      </c>
      <c r="C116" s="69" t="s">
        <v>48</v>
      </c>
      <c r="D116" s="69" t="s">
        <v>677</v>
      </c>
      <c r="E116" s="69" t="s">
        <v>49</v>
      </c>
      <c r="F116" s="69">
        <v>9987764240</v>
      </c>
      <c r="G116" s="69" t="s">
        <v>61</v>
      </c>
      <c r="H116" s="69" t="s">
        <v>21</v>
      </c>
      <c r="I116" s="69" t="s">
        <v>63</v>
      </c>
      <c r="J116" s="69" t="s">
        <v>678</v>
      </c>
      <c r="K116" s="70" t="s">
        <v>679</v>
      </c>
    </row>
    <row r="117" spans="1:12" ht="22.5" customHeight="1" x14ac:dyDescent="0.25">
      <c r="A117" s="68">
        <v>46248.970327199073</v>
      </c>
      <c r="B117" s="69" t="s">
        <v>680</v>
      </c>
      <c r="C117" s="69" t="s">
        <v>215</v>
      </c>
      <c r="D117" s="69" t="s">
        <v>680</v>
      </c>
      <c r="E117" s="69" t="s">
        <v>216</v>
      </c>
      <c r="F117" s="69">
        <v>9022237048</v>
      </c>
      <c r="G117" s="69" t="s">
        <v>61</v>
      </c>
      <c r="H117" s="69" t="s">
        <v>62</v>
      </c>
      <c r="I117" s="69" t="s">
        <v>63</v>
      </c>
      <c r="J117" s="69" t="s">
        <v>466</v>
      </c>
      <c r="K117" s="70" t="s">
        <v>681</v>
      </c>
    </row>
    <row r="118" spans="1:12" ht="22.5" customHeight="1" x14ac:dyDescent="0.25">
      <c r="A118" s="68">
        <v>46248.990223182875</v>
      </c>
      <c r="B118" s="69" t="s">
        <v>682</v>
      </c>
      <c r="C118" s="69" t="s">
        <v>296</v>
      </c>
      <c r="D118" s="69" t="s">
        <v>682</v>
      </c>
      <c r="E118" s="69" t="s">
        <v>297</v>
      </c>
      <c r="F118" s="69">
        <v>9136799394</v>
      </c>
      <c r="G118" s="69" t="s">
        <v>61</v>
      </c>
      <c r="H118" s="69" t="s">
        <v>246</v>
      </c>
      <c r="I118" s="69" t="s">
        <v>63</v>
      </c>
      <c r="J118" s="69" t="s">
        <v>104</v>
      </c>
      <c r="K118" s="70" t="s">
        <v>683</v>
      </c>
    </row>
    <row r="119" spans="1:12" ht="22.5" customHeight="1" x14ac:dyDescent="0.25">
      <c r="A119" s="68">
        <v>46249.470570405094</v>
      </c>
      <c r="B119" s="69" t="s">
        <v>684</v>
      </c>
      <c r="C119" s="69" t="s">
        <v>50</v>
      </c>
      <c r="D119" s="69" t="s">
        <v>684</v>
      </c>
      <c r="E119" s="69" t="s">
        <v>51</v>
      </c>
      <c r="F119" s="69">
        <v>9137387752</v>
      </c>
      <c r="G119" s="69" t="s">
        <v>61</v>
      </c>
      <c r="H119" s="69" t="s">
        <v>21</v>
      </c>
      <c r="I119" s="69" t="s">
        <v>63</v>
      </c>
      <c r="J119" s="69" t="s">
        <v>685</v>
      </c>
      <c r="K119" s="70" t="s">
        <v>686</v>
      </c>
    </row>
    <row r="120" spans="1:12" ht="22.5" customHeight="1" x14ac:dyDescent="0.25">
      <c r="A120" s="68">
        <v>46249.78620263889</v>
      </c>
      <c r="B120" s="69" t="s">
        <v>687</v>
      </c>
      <c r="C120" s="69" t="s">
        <v>52</v>
      </c>
      <c r="D120" s="69" t="s">
        <v>687</v>
      </c>
      <c r="E120" s="69" t="s">
        <v>53</v>
      </c>
      <c r="F120" s="69">
        <v>8169653310</v>
      </c>
      <c r="G120" s="69" t="s">
        <v>61</v>
      </c>
      <c r="H120" s="69" t="s">
        <v>21</v>
      </c>
      <c r="I120" s="69" t="s">
        <v>688</v>
      </c>
      <c r="J120" s="69" t="s">
        <v>689</v>
      </c>
      <c r="K120" s="70" t="s">
        <v>690</v>
      </c>
    </row>
    <row r="121" spans="1:12" ht="22.5" customHeight="1" x14ac:dyDescent="0.25">
      <c r="A121" s="68">
        <v>46249.956342650461</v>
      </c>
      <c r="B121" s="69" t="s">
        <v>691</v>
      </c>
      <c r="C121" s="69" t="s">
        <v>217</v>
      </c>
      <c r="D121" s="69" t="s">
        <v>691</v>
      </c>
      <c r="E121" s="69" t="s">
        <v>218</v>
      </c>
      <c r="F121" s="69">
        <v>7045468665</v>
      </c>
      <c r="G121" s="69" t="s">
        <v>61</v>
      </c>
      <c r="H121" s="69" t="s">
        <v>62</v>
      </c>
      <c r="I121" s="69" t="s">
        <v>63</v>
      </c>
      <c r="J121" s="69" t="s">
        <v>692</v>
      </c>
      <c r="K121" s="70" t="s">
        <v>693</v>
      </c>
    </row>
    <row r="122" spans="1:12" ht="22.5" customHeight="1" x14ac:dyDescent="0.25">
      <c r="A122" s="68">
        <v>46250.046138576392</v>
      </c>
      <c r="B122" s="69" t="s">
        <v>694</v>
      </c>
      <c r="C122" s="69" t="s">
        <v>54</v>
      </c>
      <c r="D122" s="69" t="s">
        <v>694</v>
      </c>
      <c r="E122" s="69" t="s">
        <v>55</v>
      </c>
      <c r="F122" s="69">
        <v>9967658133</v>
      </c>
      <c r="G122" s="69" t="s">
        <v>61</v>
      </c>
      <c r="H122" s="69" t="s">
        <v>21</v>
      </c>
      <c r="I122" s="69" t="s">
        <v>63</v>
      </c>
      <c r="J122" s="69" t="s">
        <v>695</v>
      </c>
      <c r="K122" s="70" t="s">
        <v>696</v>
      </c>
    </row>
    <row r="123" spans="1:12" ht="22.5" customHeight="1" x14ac:dyDescent="0.25">
      <c r="A123" s="68">
        <v>46250.621861921296</v>
      </c>
      <c r="B123" s="69" t="s">
        <v>697</v>
      </c>
      <c r="C123" s="69" t="s">
        <v>298</v>
      </c>
      <c r="D123" s="69" t="s">
        <v>697</v>
      </c>
      <c r="E123" s="69" t="s">
        <v>299</v>
      </c>
      <c r="F123" s="69">
        <v>8108921431</v>
      </c>
      <c r="G123" s="69" t="s">
        <v>61</v>
      </c>
      <c r="H123" s="69" t="s">
        <v>246</v>
      </c>
      <c r="I123" s="69" t="s">
        <v>63</v>
      </c>
      <c r="J123" s="69" t="s">
        <v>413</v>
      </c>
      <c r="K123" s="70" t="s">
        <v>698</v>
      </c>
      <c r="L123" s="69" t="s">
        <v>699</v>
      </c>
    </row>
    <row r="124" spans="1:12" ht="22.5" customHeight="1" x14ac:dyDescent="0.25">
      <c r="A124" s="68">
        <v>46250.782841307868</v>
      </c>
      <c r="B124" s="69" t="s">
        <v>700</v>
      </c>
      <c r="C124" s="69" t="s">
        <v>219</v>
      </c>
      <c r="D124" s="69" t="s">
        <v>700</v>
      </c>
      <c r="E124" s="69" t="s">
        <v>220</v>
      </c>
      <c r="F124" s="69">
        <v>7977687802</v>
      </c>
      <c r="G124" s="69" t="s">
        <v>61</v>
      </c>
      <c r="H124" s="69" t="s">
        <v>62</v>
      </c>
      <c r="I124" s="69" t="s">
        <v>63</v>
      </c>
      <c r="J124" s="69" t="s">
        <v>466</v>
      </c>
      <c r="K124" s="70" t="s">
        <v>701</v>
      </c>
    </row>
    <row r="125" spans="1:12" ht="22.5" customHeight="1" x14ac:dyDescent="0.25">
      <c r="A125" s="68">
        <v>46250.898137511569</v>
      </c>
      <c r="B125" s="69" t="s">
        <v>702</v>
      </c>
      <c r="C125" s="69" t="s">
        <v>361</v>
      </c>
      <c r="D125" s="69" t="s">
        <v>702</v>
      </c>
      <c r="E125" s="69" t="s">
        <v>362</v>
      </c>
      <c r="F125" s="69">
        <v>8591733255</v>
      </c>
      <c r="G125" s="69" t="s">
        <v>61</v>
      </c>
      <c r="H125" s="69" t="s">
        <v>192</v>
      </c>
      <c r="I125" s="69" t="s">
        <v>63</v>
      </c>
      <c r="J125" s="69" t="s">
        <v>109</v>
      </c>
      <c r="K125" s="70" t="s">
        <v>703</v>
      </c>
    </row>
    <row r="126" spans="1:12" ht="22.5" customHeight="1" x14ac:dyDescent="0.25">
      <c r="A126" s="68">
        <v>46250.946630023143</v>
      </c>
      <c r="B126" s="69" t="s">
        <v>704</v>
      </c>
      <c r="C126" s="69" t="s">
        <v>56</v>
      </c>
      <c r="D126" s="69" t="s">
        <v>704</v>
      </c>
      <c r="E126" s="69" t="s">
        <v>57</v>
      </c>
      <c r="F126" s="69">
        <v>8329895687</v>
      </c>
      <c r="G126" s="69" t="s">
        <v>61</v>
      </c>
      <c r="H126" s="69" t="s">
        <v>21</v>
      </c>
      <c r="I126" s="69" t="s">
        <v>63</v>
      </c>
      <c r="J126" s="69" t="s">
        <v>705</v>
      </c>
      <c r="K126" s="70" t="s">
        <v>706</v>
      </c>
    </row>
    <row r="127" spans="1:12" ht="22.5" customHeight="1" x14ac:dyDescent="0.25">
      <c r="A127" s="68">
        <v>46251.510889409721</v>
      </c>
      <c r="B127" s="69" t="s">
        <v>707</v>
      </c>
      <c r="C127" s="69" t="s">
        <v>300</v>
      </c>
      <c r="D127" s="69" t="s">
        <v>707</v>
      </c>
      <c r="E127" s="69" t="s">
        <v>301</v>
      </c>
      <c r="F127" s="69">
        <v>8169709655</v>
      </c>
      <c r="G127" s="69" t="s">
        <v>61</v>
      </c>
      <c r="H127" s="69" t="s">
        <v>246</v>
      </c>
      <c r="I127" s="69" t="s">
        <v>63</v>
      </c>
      <c r="J127" s="69" t="s">
        <v>104</v>
      </c>
      <c r="K127" s="70" t="s">
        <v>708</v>
      </c>
    </row>
    <row r="128" spans="1:12" ht="22.5" customHeight="1" x14ac:dyDescent="0.25">
      <c r="A128" s="68">
        <v>46251.680238402776</v>
      </c>
      <c r="B128" s="69" t="s">
        <v>709</v>
      </c>
      <c r="C128" s="69" t="s">
        <v>59</v>
      </c>
      <c r="D128" s="69" t="s">
        <v>709</v>
      </c>
      <c r="E128" s="69" t="s">
        <v>60</v>
      </c>
      <c r="F128" s="69">
        <v>9920768085</v>
      </c>
      <c r="G128" s="69" t="s">
        <v>61</v>
      </c>
      <c r="H128" s="69" t="s">
        <v>21</v>
      </c>
      <c r="I128" s="69" t="s">
        <v>63</v>
      </c>
      <c r="J128" s="69" t="s">
        <v>449</v>
      </c>
      <c r="K128" s="70" t="s">
        <v>710</v>
      </c>
    </row>
    <row r="129" spans="1:12" ht="22.5" customHeight="1" x14ac:dyDescent="0.25">
      <c r="A129" s="68">
        <v>46251.877061874999</v>
      </c>
      <c r="B129" s="69" t="s">
        <v>711</v>
      </c>
      <c r="C129" s="69" t="s">
        <v>302</v>
      </c>
      <c r="D129" s="69" t="s">
        <v>711</v>
      </c>
      <c r="E129" s="69" t="s">
        <v>303</v>
      </c>
      <c r="F129" s="69">
        <v>9769361792</v>
      </c>
      <c r="G129" s="69" t="s">
        <v>61</v>
      </c>
      <c r="H129" s="69" t="s">
        <v>246</v>
      </c>
      <c r="I129" s="69" t="s">
        <v>63</v>
      </c>
      <c r="J129" s="69">
        <v>3500</v>
      </c>
      <c r="K129" s="70" t="s">
        <v>712</v>
      </c>
    </row>
    <row r="130" spans="1:12" ht="22.5" customHeight="1" x14ac:dyDescent="0.25">
      <c r="A130" s="68">
        <v>46252.830987476853</v>
      </c>
      <c r="B130" s="69" t="s">
        <v>713</v>
      </c>
      <c r="C130" s="69" t="s">
        <v>64</v>
      </c>
      <c r="D130" s="69" t="s">
        <v>713</v>
      </c>
      <c r="E130" s="69" t="s">
        <v>65</v>
      </c>
      <c r="F130" s="69">
        <v>8689817414</v>
      </c>
      <c r="G130" s="69" t="s">
        <v>61</v>
      </c>
      <c r="H130" s="69" t="s">
        <v>21</v>
      </c>
      <c r="I130" s="69" t="s">
        <v>63</v>
      </c>
      <c r="J130" s="69" t="s">
        <v>714</v>
      </c>
      <c r="K130" s="70" t="s">
        <v>715</v>
      </c>
    </row>
    <row r="131" spans="1:12" ht="22.5" customHeight="1" x14ac:dyDescent="0.25">
      <c r="A131" s="68">
        <v>46252.833507812495</v>
      </c>
      <c r="B131" s="69" t="s">
        <v>716</v>
      </c>
      <c r="C131" s="69" t="s">
        <v>67</v>
      </c>
      <c r="D131" s="69" t="s">
        <v>716</v>
      </c>
      <c r="E131" s="69" t="s">
        <v>68</v>
      </c>
      <c r="F131" s="69">
        <v>9987363612</v>
      </c>
      <c r="G131" s="69" t="s">
        <v>61</v>
      </c>
      <c r="H131" s="69" t="s">
        <v>21</v>
      </c>
      <c r="I131" s="69" t="s">
        <v>63</v>
      </c>
      <c r="J131" s="69" t="s">
        <v>717</v>
      </c>
      <c r="K131" s="70" t="s">
        <v>718</v>
      </c>
    </row>
    <row r="132" spans="1:12" ht="22.5" customHeight="1" x14ac:dyDescent="0.25">
      <c r="A132" s="68">
        <v>46252.84898599537</v>
      </c>
      <c r="B132" s="69" t="s">
        <v>719</v>
      </c>
      <c r="C132" s="69" t="s">
        <v>221</v>
      </c>
      <c r="D132" s="69" t="s">
        <v>719</v>
      </c>
      <c r="E132" s="69" t="s">
        <v>222</v>
      </c>
      <c r="F132" s="69">
        <v>8591929196</v>
      </c>
      <c r="G132" s="69" t="s">
        <v>61</v>
      </c>
      <c r="H132" s="69" t="s">
        <v>62</v>
      </c>
      <c r="I132" s="69" t="s">
        <v>63</v>
      </c>
      <c r="J132" s="69" t="s">
        <v>63</v>
      </c>
      <c r="K132" s="70" t="s">
        <v>720</v>
      </c>
    </row>
    <row r="133" spans="1:12" ht="22.5" customHeight="1" x14ac:dyDescent="0.25">
      <c r="A133" s="68">
        <v>46252.908216585653</v>
      </c>
      <c r="B133" s="69" t="s">
        <v>721</v>
      </c>
      <c r="C133" s="69" t="s">
        <v>304</v>
      </c>
      <c r="D133" s="69" t="s">
        <v>721</v>
      </c>
      <c r="E133" s="69" t="s">
        <v>305</v>
      </c>
      <c r="F133" s="69">
        <v>7208691340</v>
      </c>
      <c r="G133" s="69" t="s">
        <v>61</v>
      </c>
      <c r="H133" s="69" t="s">
        <v>246</v>
      </c>
      <c r="I133" s="69" t="s">
        <v>63</v>
      </c>
      <c r="J133" s="69" t="s">
        <v>722</v>
      </c>
      <c r="K133" s="70" t="s">
        <v>723</v>
      </c>
    </row>
    <row r="134" spans="1:12" ht="22.5" customHeight="1" x14ac:dyDescent="0.25">
      <c r="A134" s="68">
        <v>46252.923917812499</v>
      </c>
      <c r="B134" s="69" t="s">
        <v>724</v>
      </c>
      <c r="C134" s="69" t="s">
        <v>224</v>
      </c>
      <c r="D134" s="69" t="s">
        <v>724</v>
      </c>
      <c r="E134" s="69" t="s">
        <v>225</v>
      </c>
      <c r="F134" s="69">
        <v>8850658323</v>
      </c>
      <c r="G134" s="69" t="s">
        <v>61</v>
      </c>
      <c r="H134" s="69" t="s">
        <v>62</v>
      </c>
      <c r="I134" s="69" t="s">
        <v>63</v>
      </c>
      <c r="J134" s="69" t="s">
        <v>526</v>
      </c>
      <c r="K134" s="70" t="s">
        <v>725</v>
      </c>
    </row>
    <row r="135" spans="1:12" ht="22.5" customHeight="1" x14ac:dyDescent="0.25">
      <c r="A135" s="68">
        <v>46253.647360289353</v>
      </c>
      <c r="B135" s="69" t="s">
        <v>726</v>
      </c>
      <c r="C135" s="69" t="s">
        <v>307</v>
      </c>
      <c r="D135" s="69" t="s">
        <v>726</v>
      </c>
      <c r="E135" s="69" t="s">
        <v>308</v>
      </c>
      <c r="F135" s="69">
        <v>9221679407</v>
      </c>
      <c r="G135" s="69" t="s">
        <v>61</v>
      </c>
      <c r="H135" s="69" t="s">
        <v>246</v>
      </c>
      <c r="I135" s="69" t="s">
        <v>63</v>
      </c>
      <c r="J135" s="69" t="s">
        <v>104</v>
      </c>
      <c r="K135" s="70" t="s">
        <v>727</v>
      </c>
      <c r="L135" s="69" t="s">
        <v>104</v>
      </c>
    </row>
    <row r="136" spans="1:12" ht="22.5" customHeight="1" x14ac:dyDescent="0.25">
      <c r="A136" s="68">
        <v>46253.729230590281</v>
      </c>
      <c r="B136" s="69" t="s">
        <v>728</v>
      </c>
      <c r="C136" s="69" t="s">
        <v>363</v>
      </c>
      <c r="D136" s="69" t="s">
        <v>729</v>
      </c>
      <c r="E136" s="69" t="s">
        <v>364</v>
      </c>
      <c r="F136" s="69">
        <v>7218680925</v>
      </c>
      <c r="G136" s="69" t="s">
        <v>61</v>
      </c>
      <c r="H136" s="69" t="s">
        <v>192</v>
      </c>
      <c r="I136" s="69" t="s">
        <v>63</v>
      </c>
      <c r="J136" s="69" t="s">
        <v>730</v>
      </c>
      <c r="K136" s="70" t="s">
        <v>731</v>
      </c>
    </row>
    <row r="137" spans="1:12" ht="22.5" customHeight="1" x14ac:dyDescent="0.25">
      <c r="A137" s="68">
        <v>46253.809983101848</v>
      </c>
      <c r="B137" s="69" t="s">
        <v>732</v>
      </c>
      <c r="C137" s="69" t="s">
        <v>309</v>
      </c>
      <c r="D137" s="69" t="s">
        <v>732</v>
      </c>
      <c r="E137" s="69" t="s">
        <v>310</v>
      </c>
      <c r="F137" s="69" t="s">
        <v>311</v>
      </c>
      <c r="G137" s="69" t="s">
        <v>61</v>
      </c>
      <c r="H137" s="69" t="s">
        <v>246</v>
      </c>
      <c r="I137" s="69" t="s">
        <v>63</v>
      </c>
      <c r="J137" s="69" t="s">
        <v>733</v>
      </c>
      <c r="K137" s="70" t="s">
        <v>734</v>
      </c>
      <c r="L137" s="69" t="s">
        <v>735</v>
      </c>
    </row>
    <row r="138" spans="1:12" ht="22.5" customHeight="1" x14ac:dyDescent="0.25">
      <c r="A138" s="68">
        <v>46253.910043321761</v>
      </c>
      <c r="B138" s="69" t="s">
        <v>736</v>
      </c>
      <c r="C138" s="69" t="s">
        <v>226</v>
      </c>
      <c r="D138" s="69" t="s">
        <v>736</v>
      </c>
      <c r="E138" s="69" t="s">
        <v>227</v>
      </c>
      <c r="F138" s="69">
        <v>8169003379</v>
      </c>
      <c r="G138" s="69" t="s">
        <v>61</v>
      </c>
      <c r="H138" s="69" t="s">
        <v>62</v>
      </c>
      <c r="I138" s="69" t="s">
        <v>63</v>
      </c>
      <c r="J138" s="69">
        <v>3500</v>
      </c>
      <c r="K138" s="70" t="s">
        <v>737</v>
      </c>
    </row>
    <row r="139" spans="1:12" ht="22.5" customHeight="1" x14ac:dyDescent="0.25">
      <c r="A139" s="68">
        <v>46254.516674270832</v>
      </c>
      <c r="B139" s="69" t="s">
        <v>738</v>
      </c>
      <c r="C139" s="69" t="s">
        <v>312</v>
      </c>
      <c r="D139" s="69" t="s">
        <v>738</v>
      </c>
      <c r="E139" s="69" t="s">
        <v>313</v>
      </c>
      <c r="F139" s="69">
        <v>7304610280</v>
      </c>
      <c r="G139" s="69" t="s">
        <v>61</v>
      </c>
      <c r="H139" s="69" t="s">
        <v>246</v>
      </c>
      <c r="I139" s="69" t="s">
        <v>63</v>
      </c>
      <c r="J139" s="69" t="s">
        <v>109</v>
      </c>
      <c r="K139" s="70" t="s">
        <v>739</v>
      </c>
      <c r="L139" s="69" t="s">
        <v>466</v>
      </c>
    </row>
    <row r="140" spans="1:12" ht="22.5" customHeight="1" x14ac:dyDescent="0.25">
      <c r="A140" s="68">
        <v>46254.520013715279</v>
      </c>
      <c r="B140" s="69" t="s">
        <v>740</v>
      </c>
      <c r="C140" s="69" t="s">
        <v>365</v>
      </c>
      <c r="D140" s="69" t="s">
        <v>740</v>
      </c>
      <c r="E140" s="69" t="s">
        <v>366</v>
      </c>
      <c r="F140" s="69">
        <v>9892940681</v>
      </c>
      <c r="G140" s="69" t="s">
        <v>61</v>
      </c>
      <c r="H140" s="69" t="s">
        <v>192</v>
      </c>
      <c r="I140" s="69" t="s">
        <v>63</v>
      </c>
      <c r="J140" s="69" t="s">
        <v>365</v>
      </c>
      <c r="K140" s="70" t="s">
        <v>741</v>
      </c>
    </row>
    <row r="141" spans="1:12" ht="22.5" customHeight="1" x14ac:dyDescent="0.25">
      <c r="A141" s="68">
        <v>46254.541546157408</v>
      </c>
      <c r="B141" s="69" t="s">
        <v>742</v>
      </c>
      <c r="C141" s="69" t="s">
        <v>369</v>
      </c>
      <c r="D141" s="69" t="s">
        <v>742</v>
      </c>
      <c r="E141" s="69" t="s">
        <v>370</v>
      </c>
      <c r="F141" s="69">
        <v>9137227466</v>
      </c>
      <c r="G141" s="69" t="s">
        <v>61</v>
      </c>
      <c r="H141" s="69" t="s">
        <v>192</v>
      </c>
      <c r="I141" s="69" t="s">
        <v>63</v>
      </c>
      <c r="J141" s="69" t="s">
        <v>743</v>
      </c>
      <c r="K141" s="70" t="s">
        <v>744</v>
      </c>
    </row>
    <row r="142" spans="1:12" ht="22.5" customHeight="1" x14ac:dyDescent="0.25">
      <c r="A142" s="68">
        <v>46254.611126226853</v>
      </c>
      <c r="B142" s="69" t="s">
        <v>745</v>
      </c>
      <c r="C142" s="69" t="s">
        <v>69</v>
      </c>
      <c r="D142" s="69" t="s">
        <v>745</v>
      </c>
      <c r="E142" s="69" t="s">
        <v>70</v>
      </c>
      <c r="F142" s="69">
        <v>8329881698</v>
      </c>
      <c r="G142" s="69" t="s">
        <v>61</v>
      </c>
      <c r="H142" s="69" t="s">
        <v>21</v>
      </c>
      <c r="I142" s="69" t="s">
        <v>63</v>
      </c>
      <c r="J142" s="69" t="s">
        <v>746</v>
      </c>
      <c r="K142" s="70" t="s">
        <v>747</v>
      </c>
      <c r="L142" s="69" t="s">
        <v>101</v>
      </c>
    </row>
    <row r="143" spans="1:12" ht="22.5" customHeight="1" x14ac:dyDescent="0.25">
      <c r="A143" s="68">
        <v>46254.832688726849</v>
      </c>
      <c r="B143" s="69" t="s">
        <v>748</v>
      </c>
      <c r="C143" s="69" t="s">
        <v>372</v>
      </c>
      <c r="D143" s="69" t="s">
        <v>748</v>
      </c>
      <c r="E143" s="69" t="s">
        <v>373</v>
      </c>
      <c r="F143" s="69">
        <v>7021407297</v>
      </c>
      <c r="G143" s="69" t="s">
        <v>61</v>
      </c>
      <c r="H143" s="69" t="s">
        <v>192</v>
      </c>
      <c r="I143" s="69" t="s">
        <v>63</v>
      </c>
      <c r="J143" s="69">
        <v>3500</v>
      </c>
      <c r="K143" s="70" t="s">
        <v>749</v>
      </c>
    </row>
    <row r="144" spans="1:12" ht="22.5" customHeight="1" x14ac:dyDescent="0.25">
      <c r="A144" s="68">
        <v>46254.839509895828</v>
      </c>
      <c r="B144" s="69" t="s">
        <v>750</v>
      </c>
      <c r="C144" s="69" t="s">
        <v>374</v>
      </c>
      <c r="D144" s="69" t="s">
        <v>750</v>
      </c>
      <c r="E144" s="69" t="s">
        <v>375</v>
      </c>
      <c r="F144" s="69">
        <v>7738299420</v>
      </c>
      <c r="G144" s="69" t="s">
        <v>61</v>
      </c>
      <c r="H144" s="69" t="s">
        <v>192</v>
      </c>
      <c r="I144" s="69" t="s">
        <v>63</v>
      </c>
      <c r="J144" s="69" t="s">
        <v>751</v>
      </c>
      <c r="K144" s="70" t="s">
        <v>752</v>
      </c>
    </row>
    <row r="145" spans="1:12" ht="22.5" customHeight="1" x14ac:dyDescent="0.25">
      <c r="A145" s="68">
        <v>46254.839551840283</v>
      </c>
      <c r="B145" s="69" t="s">
        <v>753</v>
      </c>
      <c r="C145" s="69" t="s">
        <v>228</v>
      </c>
      <c r="D145" s="69" t="s">
        <v>753</v>
      </c>
      <c r="E145" s="69" t="s">
        <v>229</v>
      </c>
      <c r="F145" s="69">
        <v>8252495040</v>
      </c>
      <c r="G145" s="69" t="s">
        <v>61</v>
      </c>
      <c r="H145" s="69" t="s">
        <v>62</v>
      </c>
      <c r="I145" s="69" t="s">
        <v>63</v>
      </c>
      <c r="J145" s="69" t="s">
        <v>699</v>
      </c>
      <c r="K145" s="70" t="s">
        <v>754</v>
      </c>
    </row>
    <row r="146" spans="1:12" ht="22.5" customHeight="1" x14ac:dyDescent="0.25">
      <c r="A146" s="68">
        <v>46254.845703298612</v>
      </c>
      <c r="B146" s="69" t="s">
        <v>755</v>
      </c>
      <c r="C146" s="69" t="s">
        <v>314</v>
      </c>
      <c r="D146" s="69" t="s">
        <v>755</v>
      </c>
      <c r="E146" s="69" t="s">
        <v>315</v>
      </c>
      <c r="F146" s="69">
        <v>9967443912</v>
      </c>
      <c r="G146" s="69" t="s">
        <v>61</v>
      </c>
      <c r="H146" s="69" t="s">
        <v>246</v>
      </c>
      <c r="I146" s="69" t="s">
        <v>63</v>
      </c>
      <c r="J146" s="69">
        <v>3500</v>
      </c>
      <c r="K146" s="70" t="s">
        <v>756</v>
      </c>
    </row>
    <row r="147" spans="1:12" ht="22.5" customHeight="1" x14ac:dyDescent="0.25">
      <c r="A147" s="68">
        <v>46254.910488263893</v>
      </c>
      <c r="B147" s="69" t="s">
        <v>757</v>
      </c>
      <c r="C147" s="69" t="s">
        <v>230</v>
      </c>
      <c r="D147" s="69" t="s">
        <v>758</v>
      </c>
      <c r="E147" s="69" t="s">
        <v>231</v>
      </c>
      <c r="F147" s="69">
        <v>7385636493</v>
      </c>
      <c r="G147" s="69" t="s">
        <v>61</v>
      </c>
      <c r="H147" s="69" t="s">
        <v>62</v>
      </c>
      <c r="I147" s="69" t="s">
        <v>63</v>
      </c>
      <c r="J147" s="69" t="s">
        <v>63</v>
      </c>
      <c r="K147" s="70" t="s">
        <v>759</v>
      </c>
    </row>
    <row r="148" spans="1:12" ht="22.5" customHeight="1" x14ac:dyDescent="0.25">
      <c r="A148" s="68">
        <v>46254.928201168979</v>
      </c>
      <c r="B148" s="69" t="s">
        <v>760</v>
      </c>
      <c r="C148" s="69" t="s">
        <v>317</v>
      </c>
      <c r="D148" s="69" t="s">
        <v>760</v>
      </c>
      <c r="E148" s="69" t="s">
        <v>318</v>
      </c>
      <c r="F148" s="69">
        <v>8850479642</v>
      </c>
      <c r="G148" s="69" t="s">
        <v>61</v>
      </c>
      <c r="H148" s="69" t="s">
        <v>246</v>
      </c>
      <c r="I148" s="69" t="s">
        <v>63</v>
      </c>
      <c r="J148" s="69" t="s">
        <v>761</v>
      </c>
      <c r="K148" s="70" t="s">
        <v>762</v>
      </c>
    </row>
    <row r="149" spans="1:12" ht="22.5" customHeight="1" x14ac:dyDescent="0.25">
      <c r="A149" s="68">
        <v>46254.929885092592</v>
      </c>
      <c r="B149" s="69" t="s">
        <v>763</v>
      </c>
      <c r="C149" s="69" t="s">
        <v>71</v>
      </c>
      <c r="D149" s="69" t="s">
        <v>763</v>
      </c>
      <c r="E149" s="69" t="s">
        <v>72</v>
      </c>
      <c r="F149" s="69">
        <v>9223329774</v>
      </c>
      <c r="G149" s="69" t="s">
        <v>61</v>
      </c>
      <c r="H149" s="69" t="s">
        <v>21</v>
      </c>
      <c r="I149" s="69" t="s">
        <v>63</v>
      </c>
      <c r="J149" s="69" t="s">
        <v>469</v>
      </c>
      <c r="K149" s="70" t="s">
        <v>764</v>
      </c>
    </row>
    <row r="150" spans="1:12" ht="22.5" customHeight="1" x14ac:dyDescent="0.25">
      <c r="A150" s="68">
        <v>46254.932941666666</v>
      </c>
      <c r="B150" s="69" t="s">
        <v>765</v>
      </c>
      <c r="C150" s="69" t="s">
        <v>319</v>
      </c>
      <c r="D150" s="69" t="s">
        <v>765</v>
      </c>
      <c r="E150" s="69" t="s">
        <v>320</v>
      </c>
      <c r="F150" s="69">
        <v>9892222117</v>
      </c>
      <c r="G150" s="69" t="s">
        <v>61</v>
      </c>
      <c r="H150" s="69" t="s">
        <v>246</v>
      </c>
      <c r="I150" s="69" t="s">
        <v>63</v>
      </c>
      <c r="J150" s="69" t="s">
        <v>766</v>
      </c>
      <c r="K150" s="70" t="s">
        <v>767</v>
      </c>
    </row>
    <row r="151" spans="1:12" ht="22.5" customHeight="1" x14ac:dyDescent="0.25">
      <c r="A151" s="68">
        <v>46254.935293645831</v>
      </c>
      <c r="B151" s="69" t="s">
        <v>768</v>
      </c>
      <c r="C151" s="69" t="s">
        <v>321</v>
      </c>
      <c r="D151" s="69" t="s">
        <v>768</v>
      </c>
      <c r="E151" s="69" t="s">
        <v>322</v>
      </c>
      <c r="F151" s="69">
        <v>7021025958</v>
      </c>
      <c r="G151" s="69" t="s">
        <v>61</v>
      </c>
      <c r="H151" s="69" t="s">
        <v>246</v>
      </c>
      <c r="I151" s="69" t="s">
        <v>63</v>
      </c>
      <c r="J151" s="69" t="s">
        <v>104</v>
      </c>
      <c r="K151" s="70" t="s">
        <v>769</v>
      </c>
    </row>
    <row r="152" spans="1:12" ht="22.5" customHeight="1" x14ac:dyDescent="0.25">
      <c r="A152" s="68">
        <v>46254.935849606481</v>
      </c>
      <c r="B152" s="69" t="s">
        <v>770</v>
      </c>
      <c r="C152" s="69" t="s">
        <v>323</v>
      </c>
      <c r="D152" s="69" t="s">
        <v>770</v>
      </c>
      <c r="E152" s="69" t="s">
        <v>324</v>
      </c>
      <c r="F152" s="69">
        <v>8591915445</v>
      </c>
      <c r="G152" s="69" t="s">
        <v>61</v>
      </c>
      <c r="H152" s="69" t="s">
        <v>246</v>
      </c>
      <c r="I152" s="69" t="s">
        <v>63</v>
      </c>
      <c r="J152" s="69" t="s">
        <v>771</v>
      </c>
      <c r="K152" s="70" t="s">
        <v>772</v>
      </c>
    </row>
    <row r="153" spans="1:12" ht="22.5" customHeight="1" x14ac:dyDescent="0.25">
      <c r="A153" s="68">
        <v>46254.965087881945</v>
      </c>
      <c r="B153" s="69" t="s">
        <v>773</v>
      </c>
      <c r="C153" s="69" t="s">
        <v>232</v>
      </c>
      <c r="D153" s="69" t="s">
        <v>773</v>
      </c>
      <c r="E153" s="69" t="s">
        <v>233</v>
      </c>
      <c r="F153" s="69">
        <v>8104852325</v>
      </c>
      <c r="G153" s="69" t="s">
        <v>61</v>
      </c>
      <c r="H153" s="69" t="s">
        <v>62</v>
      </c>
      <c r="I153" s="69" t="s">
        <v>63</v>
      </c>
      <c r="J153" s="69" t="s">
        <v>104</v>
      </c>
      <c r="K153" s="70" t="s">
        <v>774</v>
      </c>
    </row>
    <row r="154" spans="1:12" ht="22.5" customHeight="1" x14ac:dyDescent="0.25">
      <c r="A154" s="68">
        <v>46254.979862060187</v>
      </c>
      <c r="B154" s="69" t="s">
        <v>775</v>
      </c>
      <c r="C154" s="69" t="s">
        <v>326</v>
      </c>
      <c r="D154" s="69" t="s">
        <v>775</v>
      </c>
      <c r="E154" s="69" t="s">
        <v>327</v>
      </c>
      <c r="F154" s="69">
        <v>9421167547</v>
      </c>
      <c r="G154" s="69" t="s">
        <v>61</v>
      </c>
      <c r="H154" s="69" t="s">
        <v>246</v>
      </c>
      <c r="I154" s="69" t="s">
        <v>63</v>
      </c>
      <c r="J154" s="69" t="s">
        <v>443</v>
      </c>
      <c r="K154" s="70" t="s">
        <v>776</v>
      </c>
    </row>
    <row r="155" spans="1:12" ht="22.5" customHeight="1" x14ac:dyDescent="0.25">
      <c r="A155" s="68">
        <v>46254.981915219905</v>
      </c>
      <c r="B155" s="69" t="s">
        <v>777</v>
      </c>
      <c r="C155" s="69" t="s">
        <v>73</v>
      </c>
      <c r="D155" s="69" t="s">
        <v>777</v>
      </c>
      <c r="E155" s="69" t="s">
        <v>74</v>
      </c>
      <c r="F155" s="69">
        <v>7045381682</v>
      </c>
      <c r="G155" s="69" t="s">
        <v>61</v>
      </c>
      <c r="H155" s="69" t="s">
        <v>21</v>
      </c>
      <c r="I155" s="69" t="s">
        <v>63</v>
      </c>
      <c r="J155" s="69" t="s">
        <v>778</v>
      </c>
      <c r="K155" s="70" t="s">
        <v>779</v>
      </c>
    </row>
    <row r="156" spans="1:12" ht="22.5" customHeight="1" x14ac:dyDescent="0.25">
      <c r="A156" s="68">
        <v>46255.001257442127</v>
      </c>
      <c r="B156" s="69" t="s">
        <v>780</v>
      </c>
      <c r="C156" s="69" t="s">
        <v>328</v>
      </c>
      <c r="D156" s="69" t="s">
        <v>780</v>
      </c>
      <c r="E156" s="69" t="s">
        <v>329</v>
      </c>
      <c r="F156" s="69">
        <v>7039376721</v>
      </c>
      <c r="G156" s="69" t="s">
        <v>61</v>
      </c>
      <c r="H156" s="69" t="s">
        <v>246</v>
      </c>
      <c r="I156" s="69" t="s">
        <v>63</v>
      </c>
      <c r="J156" s="69" t="s">
        <v>109</v>
      </c>
      <c r="K156" s="70" t="s">
        <v>781</v>
      </c>
      <c r="L156" s="69" t="s">
        <v>466</v>
      </c>
    </row>
    <row r="157" spans="1:12" ht="22.5" customHeight="1" x14ac:dyDescent="0.25">
      <c r="A157" s="68">
        <v>46258.812086759259</v>
      </c>
      <c r="B157" s="69" t="s">
        <v>782</v>
      </c>
      <c r="C157" s="69" t="s">
        <v>330</v>
      </c>
      <c r="D157" s="69" t="s">
        <v>782</v>
      </c>
      <c r="E157" s="69" t="s">
        <v>331</v>
      </c>
      <c r="F157" s="69">
        <v>9372740126</v>
      </c>
      <c r="G157" s="69" t="s">
        <v>61</v>
      </c>
      <c r="H157" s="69" t="s">
        <v>246</v>
      </c>
      <c r="I157" s="69" t="s">
        <v>63</v>
      </c>
      <c r="J157" s="69" t="s">
        <v>783</v>
      </c>
      <c r="K157" s="70" t="s">
        <v>784</v>
      </c>
    </row>
    <row r="158" spans="1:12" ht="22.5" customHeight="1" x14ac:dyDescent="0.25">
      <c r="A158" s="68">
        <v>46259.57138775463</v>
      </c>
      <c r="B158" s="69" t="s">
        <v>785</v>
      </c>
      <c r="C158" s="69" t="s">
        <v>234</v>
      </c>
      <c r="D158" s="69" t="s">
        <v>785</v>
      </c>
      <c r="E158" s="69" t="s">
        <v>235</v>
      </c>
      <c r="F158" s="69">
        <v>7977256070</v>
      </c>
      <c r="G158" s="69" t="s">
        <v>61</v>
      </c>
      <c r="H158" s="69" t="s">
        <v>62</v>
      </c>
      <c r="I158" s="69" t="s">
        <v>63</v>
      </c>
      <c r="J158" s="69" t="s">
        <v>461</v>
      </c>
      <c r="K158" s="70" t="s">
        <v>786</v>
      </c>
    </row>
    <row r="159" spans="1:12" ht="22.5" customHeight="1" x14ac:dyDescent="0.25">
      <c r="A159" s="68">
        <v>46259.766947118056</v>
      </c>
      <c r="B159" s="69" t="s">
        <v>787</v>
      </c>
      <c r="C159" s="69" t="s">
        <v>236</v>
      </c>
      <c r="D159" s="69" t="s">
        <v>787</v>
      </c>
      <c r="E159" s="69" t="s">
        <v>237</v>
      </c>
      <c r="F159" s="69">
        <v>8369739966</v>
      </c>
      <c r="G159" s="69" t="s">
        <v>61</v>
      </c>
      <c r="H159" s="69" t="s">
        <v>62</v>
      </c>
      <c r="I159" s="69" t="s">
        <v>63</v>
      </c>
      <c r="J159" s="69" t="s">
        <v>109</v>
      </c>
      <c r="K159" s="70" t="s">
        <v>788</v>
      </c>
      <c r="L159" s="69" t="s">
        <v>109</v>
      </c>
    </row>
    <row r="160" spans="1:12" ht="22.5" customHeight="1" x14ac:dyDescent="0.25">
      <c r="A160" s="68">
        <v>46261.914245451393</v>
      </c>
      <c r="B160" s="69" t="s">
        <v>789</v>
      </c>
      <c r="C160" s="69" t="s">
        <v>332</v>
      </c>
      <c r="D160" s="69" t="s">
        <v>789</v>
      </c>
      <c r="E160" s="69" t="s">
        <v>333</v>
      </c>
      <c r="F160" s="69">
        <v>8928864761</v>
      </c>
      <c r="G160" s="69" t="s">
        <v>61</v>
      </c>
      <c r="H160" s="69" t="s">
        <v>246</v>
      </c>
      <c r="I160" s="69" t="s">
        <v>63</v>
      </c>
      <c r="J160" s="69" t="s">
        <v>790</v>
      </c>
      <c r="K160" s="70" t="s">
        <v>791</v>
      </c>
    </row>
    <row r="161" spans="1:18" ht="22.5" customHeight="1" x14ac:dyDescent="0.25">
      <c r="A161" s="68">
        <v>46267.811999537036</v>
      </c>
      <c r="B161" s="69" t="s">
        <v>792</v>
      </c>
      <c r="C161" s="69" t="s">
        <v>238</v>
      </c>
      <c r="D161" s="69" t="s">
        <v>792</v>
      </c>
      <c r="E161" s="69" t="s">
        <v>239</v>
      </c>
      <c r="F161" s="69">
        <v>9769197130</v>
      </c>
      <c r="G161" s="69" t="s">
        <v>61</v>
      </c>
      <c r="H161" s="69" t="s">
        <v>62</v>
      </c>
      <c r="I161" s="69" t="s">
        <v>63</v>
      </c>
      <c r="J161" s="69" t="s">
        <v>526</v>
      </c>
      <c r="K161" s="70" t="s">
        <v>793</v>
      </c>
    </row>
    <row r="162" spans="1:18" ht="22.5" customHeight="1" x14ac:dyDescent="0.25">
      <c r="A162" s="68">
        <v>46267.93819533565</v>
      </c>
      <c r="B162" s="69" t="s">
        <v>794</v>
      </c>
      <c r="C162" s="69" t="s">
        <v>242</v>
      </c>
      <c r="D162" s="69" t="s">
        <v>794</v>
      </c>
      <c r="E162" s="69" t="s">
        <v>243</v>
      </c>
      <c r="F162" s="69">
        <v>9136134339</v>
      </c>
      <c r="G162" s="69" t="s">
        <v>61</v>
      </c>
      <c r="H162" s="69" t="s">
        <v>62</v>
      </c>
      <c r="I162" s="69" t="s">
        <v>63</v>
      </c>
      <c r="J162" s="69" t="s">
        <v>730</v>
      </c>
      <c r="K162" s="70" t="s">
        <v>795</v>
      </c>
    </row>
    <row r="163" spans="1:18" ht="22.5" customHeight="1" x14ac:dyDescent="0.25">
      <c r="A163" s="68">
        <v>46271.729106018523</v>
      </c>
      <c r="B163" s="69" t="s">
        <v>796</v>
      </c>
      <c r="C163" s="69" t="s">
        <v>377</v>
      </c>
      <c r="D163" s="69" t="s">
        <v>796</v>
      </c>
      <c r="E163" s="69" t="s">
        <v>378</v>
      </c>
      <c r="F163" s="69">
        <v>8369751304</v>
      </c>
      <c r="G163" s="69" t="s">
        <v>61</v>
      </c>
      <c r="H163" s="69" t="s">
        <v>192</v>
      </c>
      <c r="I163" s="69" t="s">
        <v>63</v>
      </c>
      <c r="J163" s="69" t="s">
        <v>104</v>
      </c>
      <c r="K163" s="70" t="s">
        <v>797</v>
      </c>
    </row>
    <row r="164" spans="1:18" ht="13.2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27"/>
      <c r="N164" s="27"/>
      <c r="O164" s="27"/>
      <c r="P164" s="27"/>
      <c r="Q164" s="27"/>
      <c r="R164" s="27"/>
    </row>
    <row r="165" spans="1:18" ht="13.2" x14ac:dyDescent="0.25">
      <c r="A165" s="27"/>
      <c r="B165" s="27"/>
      <c r="C165" s="27"/>
      <c r="D165" s="27"/>
      <c r="E165" s="27"/>
      <c r="F165" s="11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</row>
    <row r="166" spans="1:18" ht="13.2" x14ac:dyDescent="0.25">
      <c r="A166" s="27"/>
      <c r="B166" s="27"/>
      <c r="C166" s="27"/>
      <c r="D166" s="27"/>
      <c r="E166" s="27"/>
      <c r="F166" s="11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</row>
    <row r="167" spans="1:18" ht="13.2" x14ac:dyDescent="0.25">
      <c r="A167" s="27"/>
      <c r="B167" s="27"/>
      <c r="C167" s="27"/>
      <c r="D167" s="27"/>
      <c r="E167" s="27"/>
      <c r="F167" s="11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</row>
    <row r="168" spans="1:18" ht="13.2" x14ac:dyDescent="0.25">
      <c r="A168" s="27"/>
      <c r="B168" s="27"/>
      <c r="C168" s="27"/>
      <c r="D168" s="27"/>
      <c r="E168" s="27"/>
      <c r="F168" s="11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</row>
    <row r="169" spans="1:18" ht="13.2" x14ac:dyDescent="0.25">
      <c r="A169" s="27"/>
      <c r="B169" s="27"/>
      <c r="C169" s="27"/>
      <c r="D169" s="27"/>
      <c r="E169" s="27"/>
      <c r="F169" s="11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</row>
    <row r="170" spans="1:18" ht="13.2" x14ac:dyDescent="0.25">
      <c r="A170" s="27"/>
      <c r="B170" s="27"/>
      <c r="C170" s="27"/>
      <c r="D170" s="27"/>
      <c r="E170" s="27"/>
      <c r="F170" s="11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</row>
    <row r="171" spans="1:18" ht="13.2" x14ac:dyDescent="0.25">
      <c r="A171" s="27"/>
      <c r="B171" s="27"/>
      <c r="C171" s="27"/>
      <c r="D171" s="27"/>
      <c r="E171" s="27"/>
      <c r="F171" s="11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</row>
    <row r="172" spans="1:18" ht="13.2" x14ac:dyDescent="0.25">
      <c r="A172" s="27"/>
      <c r="B172" s="27"/>
      <c r="C172" s="27"/>
      <c r="D172" s="27"/>
      <c r="E172" s="27"/>
      <c r="F172" s="11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</row>
    <row r="173" spans="1:18" ht="13.2" x14ac:dyDescent="0.25">
      <c r="A173" s="27"/>
      <c r="B173" s="27"/>
      <c r="C173" s="27"/>
      <c r="D173" s="27"/>
      <c r="E173" s="27"/>
      <c r="F173" s="11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</row>
    <row r="174" spans="1:18" ht="13.2" x14ac:dyDescent="0.25">
      <c r="A174" s="27"/>
      <c r="B174" s="27"/>
      <c r="C174" s="27"/>
      <c r="D174" s="27"/>
      <c r="E174" s="27"/>
      <c r="F174" s="11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</row>
    <row r="175" spans="1:18" ht="13.2" x14ac:dyDescent="0.25">
      <c r="A175" s="27"/>
      <c r="B175" s="27"/>
      <c r="C175" s="27"/>
      <c r="D175" s="27"/>
      <c r="E175" s="27"/>
      <c r="F175" s="11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</row>
    <row r="176" spans="1:18" ht="13.2" x14ac:dyDescent="0.25">
      <c r="A176" s="27"/>
      <c r="B176" s="27"/>
      <c r="C176" s="27"/>
      <c r="D176" s="27"/>
      <c r="E176" s="27"/>
      <c r="F176" s="11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</row>
    <row r="177" spans="1:18" ht="13.2" x14ac:dyDescent="0.25">
      <c r="A177" s="27"/>
      <c r="B177" s="27"/>
      <c r="C177" s="27"/>
      <c r="D177" s="27"/>
      <c r="E177" s="27"/>
      <c r="F177" s="11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</row>
    <row r="178" spans="1:18" ht="13.2" x14ac:dyDescent="0.25">
      <c r="A178" s="27"/>
      <c r="B178" s="27"/>
      <c r="C178" s="27"/>
      <c r="D178" s="27"/>
      <c r="E178" s="27"/>
      <c r="F178" s="11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</row>
    <row r="179" spans="1:18" ht="13.2" x14ac:dyDescent="0.25">
      <c r="A179" s="27"/>
      <c r="B179" s="27"/>
      <c r="C179" s="27"/>
      <c r="D179" s="27"/>
      <c r="E179" s="27"/>
      <c r="F179" s="11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</row>
    <row r="180" spans="1:18" ht="13.2" x14ac:dyDescent="0.25">
      <c r="A180" s="27"/>
      <c r="B180" s="27"/>
      <c r="C180" s="27"/>
      <c r="D180" s="27"/>
      <c r="E180" s="27"/>
      <c r="F180" s="11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</row>
    <row r="181" spans="1:18" ht="13.2" x14ac:dyDescent="0.25">
      <c r="A181" s="27"/>
      <c r="B181" s="27"/>
      <c r="C181" s="27"/>
      <c r="D181" s="27"/>
      <c r="E181" s="27"/>
      <c r="F181" s="11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</row>
    <row r="182" spans="1:18" ht="13.2" x14ac:dyDescent="0.25">
      <c r="A182" s="27"/>
      <c r="B182" s="27"/>
      <c r="C182" s="27"/>
      <c r="D182" s="27"/>
      <c r="E182" s="27"/>
      <c r="F182" s="11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</row>
    <row r="183" spans="1:18" ht="13.2" x14ac:dyDescent="0.25">
      <c r="A183" s="27"/>
      <c r="B183" s="27"/>
      <c r="C183" s="27"/>
      <c r="D183" s="27"/>
      <c r="E183" s="27"/>
      <c r="F183" s="11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</row>
    <row r="184" spans="1:18" ht="13.2" x14ac:dyDescent="0.25">
      <c r="A184" s="27"/>
      <c r="B184" s="27"/>
      <c r="C184" s="27"/>
      <c r="D184" s="27"/>
      <c r="E184" s="27"/>
      <c r="F184" s="11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</row>
    <row r="185" spans="1:18" ht="13.2" x14ac:dyDescent="0.25">
      <c r="A185" s="27"/>
      <c r="B185" s="27"/>
      <c r="C185" s="27"/>
      <c r="D185" s="27"/>
      <c r="E185" s="27"/>
      <c r="F185" s="11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</row>
    <row r="186" spans="1:18" ht="13.2" x14ac:dyDescent="0.25">
      <c r="A186" s="27"/>
      <c r="B186" s="27"/>
      <c r="C186" s="27"/>
      <c r="D186" s="27"/>
      <c r="E186" s="27"/>
      <c r="F186" s="11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</row>
    <row r="187" spans="1:18" ht="13.2" x14ac:dyDescent="0.25">
      <c r="A187" s="27"/>
      <c r="B187" s="27"/>
      <c r="C187" s="27"/>
      <c r="D187" s="27"/>
      <c r="E187" s="27"/>
      <c r="F187" s="11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</row>
    <row r="188" spans="1:18" ht="13.2" x14ac:dyDescent="0.25">
      <c r="A188" s="27"/>
      <c r="B188" s="27"/>
      <c r="C188" s="27"/>
      <c r="D188" s="27"/>
      <c r="E188" s="27"/>
      <c r="F188" s="11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</row>
    <row r="189" spans="1:18" ht="13.2" x14ac:dyDescent="0.25">
      <c r="A189" s="27"/>
      <c r="B189" s="27"/>
      <c r="C189" s="27"/>
      <c r="D189" s="27"/>
      <c r="E189" s="27"/>
      <c r="F189" s="11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</row>
    <row r="190" spans="1:18" ht="13.2" x14ac:dyDescent="0.25">
      <c r="A190" s="27"/>
      <c r="B190" s="27"/>
      <c r="C190" s="27"/>
      <c r="D190" s="27"/>
      <c r="E190" s="27"/>
      <c r="F190" s="11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</row>
    <row r="191" spans="1:18" ht="13.2" x14ac:dyDescent="0.25">
      <c r="A191" s="27"/>
      <c r="B191" s="27"/>
      <c r="C191" s="27"/>
      <c r="D191" s="27"/>
      <c r="E191" s="27"/>
      <c r="F191" s="11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</row>
    <row r="192" spans="1:18" ht="13.2" x14ac:dyDescent="0.25">
      <c r="A192" s="27"/>
      <c r="B192" s="27"/>
      <c r="C192" s="27"/>
      <c r="D192" s="27"/>
      <c r="E192" s="27"/>
      <c r="F192" s="11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</row>
    <row r="193" spans="1:18" ht="13.2" x14ac:dyDescent="0.25">
      <c r="A193" s="27"/>
      <c r="B193" s="27"/>
      <c r="C193" s="27"/>
      <c r="D193" s="27"/>
      <c r="E193" s="27"/>
      <c r="F193" s="11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</row>
    <row r="194" spans="1:18" ht="13.2" x14ac:dyDescent="0.25">
      <c r="A194" s="27"/>
      <c r="B194" s="27"/>
      <c r="C194" s="27"/>
      <c r="D194" s="27"/>
      <c r="E194" s="27"/>
      <c r="F194" s="11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</row>
    <row r="195" spans="1:18" ht="13.2" x14ac:dyDescent="0.25">
      <c r="A195" s="27"/>
      <c r="B195" s="27"/>
      <c r="C195" s="27"/>
      <c r="D195" s="27"/>
      <c r="E195" s="27"/>
      <c r="F195" s="11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</row>
    <row r="196" spans="1:18" ht="13.2" x14ac:dyDescent="0.25">
      <c r="A196" s="27"/>
      <c r="B196" s="27"/>
      <c r="C196" s="27"/>
      <c r="D196" s="27"/>
      <c r="E196" s="27"/>
      <c r="F196" s="11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</row>
    <row r="197" spans="1:18" ht="13.2" x14ac:dyDescent="0.25">
      <c r="A197" s="27"/>
      <c r="B197" s="27"/>
      <c r="C197" s="27"/>
      <c r="D197" s="27"/>
      <c r="E197" s="27"/>
      <c r="F197" s="11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</row>
    <row r="198" spans="1:18" ht="13.2" x14ac:dyDescent="0.25">
      <c r="A198" s="27"/>
      <c r="B198" s="27"/>
      <c r="C198" s="27"/>
      <c r="D198" s="27"/>
      <c r="E198" s="27"/>
      <c r="F198" s="11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</row>
    <row r="199" spans="1:18" ht="13.2" x14ac:dyDescent="0.25">
      <c r="A199" s="27"/>
      <c r="B199" s="27"/>
      <c r="C199" s="27"/>
      <c r="D199" s="27"/>
      <c r="E199" s="27"/>
      <c r="F199" s="11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</row>
    <row r="200" spans="1:18" ht="13.2" x14ac:dyDescent="0.25">
      <c r="A200" s="27"/>
      <c r="B200" s="27"/>
      <c r="C200" s="27"/>
      <c r="D200" s="27"/>
      <c r="E200" s="27"/>
      <c r="F200" s="11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</row>
    <row r="201" spans="1:18" ht="13.2" x14ac:dyDescent="0.25">
      <c r="A201" s="27"/>
      <c r="B201" s="27"/>
      <c r="C201" s="27"/>
      <c r="D201" s="27"/>
      <c r="E201" s="27"/>
      <c r="F201" s="11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</row>
    <row r="202" spans="1:18" ht="13.2" x14ac:dyDescent="0.25">
      <c r="A202" s="27"/>
      <c r="B202" s="27"/>
      <c r="C202" s="27"/>
      <c r="D202" s="27"/>
      <c r="E202" s="27"/>
      <c r="F202" s="11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</row>
    <row r="203" spans="1:18" ht="13.2" x14ac:dyDescent="0.25">
      <c r="A203" s="27"/>
      <c r="B203" s="27"/>
      <c r="C203" s="27"/>
      <c r="D203" s="27"/>
      <c r="E203" s="27"/>
      <c r="F203" s="11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</row>
    <row r="204" spans="1:18" ht="13.2" x14ac:dyDescent="0.25">
      <c r="A204" s="27"/>
      <c r="B204" s="27"/>
      <c r="C204" s="27"/>
      <c r="D204" s="27"/>
      <c r="E204" s="27"/>
      <c r="F204" s="11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</row>
    <row r="205" spans="1:18" ht="13.2" x14ac:dyDescent="0.25">
      <c r="A205" s="27"/>
      <c r="B205" s="27"/>
      <c r="C205" s="27"/>
      <c r="D205" s="27"/>
      <c r="E205" s="27"/>
      <c r="F205" s="11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</row>
    <row r="206" spans="1:18" ht="13.2" x14ac:dyDescent="0.25">
      <c r="A206" s="27"/>
      <c r="B206" s="27"/>
      <c r="C206" s="27"/>
      <c r="D206" s="27"/>
      <c r="E206" s="27"/>
      <c r="F206" s="11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</row>
    <row r="207" spans="1:18" ht="13.2" x14ac:dyDescent="0.25">
      <c r="A207" s="27"/>
      <c r="B207" s="27"/>
      <c r="C207" s="27"/>
      <c r="D207" s="27"/>
      <c r="E207" s="27"/>
      <c r="F207" s="11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</row>
    <row r="208" spans="1:18" ht="13.2" x14ac:dyDescent="0.25">
      <c r="A208" s="27"/>
      <c r="B208" s="27"/>
      <c r="C208" s="27"/>
      <c r="D208" s="27"/>
      <c r="E208" s="27"/>
      <c r="F208" s="11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</row>
    <row r="209" spans="1:18" ht="13.2" x14ac:dyDescent="0.25">
      <c r="A209" s="27"/>
      <c r="B209" s="27"/>
      <c r="C209" s="27"/>
      <c r="D209" s="27"/>
      <c r="E209" s="27"/>
      <c r="F209" s="11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</row>
    <row r="210" spans="1:18" ht="13.2" x14ac:dyDescent="0.25">
      <c r="A210" s="27"/>
      <c r="B210" s="27"/>
      <c r="C210" s="27"/>
      <c r="D210" s="27"/>
      <c r="E210" s="27"/>
      <c r="F210" s="11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</row>
    <row r="211" spans="1:18" ht="13.2" x14ac:dyDescent="0.25">
      <c r="A211" s="27"/>
      <c r="B211" s="27"/>
      <c r="C211" s="27"/>
      <c r="D211" s="27"/>
      <c r="E211" s="27"/>
      <c r="F211" s="11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</row>
    <row r="212" spans="1:18" ht="13.2" x14ac:dyDescent="0.25">
      <c r="A212" s="27"/>
      <c r="B212" s="27"/>
      <c r="C212" s="27"/>
      <c r="D212" s="27"/>
      <c r="E212" s="27"/>
      <c r="F212" s="11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</row>
    <row r="213" spans="1:18" ht="13.2" x14ac:dyDescent="0.25">
      <c r="A213" s="27"/>
      <c r="B213" s="27"/>
      <c r="C213" s="27"/>
      <c r="D213" s="27"/>
      <c r="E213" s="27"/>
      <c r="F213" s="11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</row>
    <row r="214" spans="1:18" ht="13.2" x14ac:dyDescent="0.25">
      <c r="A214" s="27"/>
      <c r="B214" s="27"/>
      <c r="C214" s="27"/>
      <c r="D214" s="27"/>
      <c r="E214" s="27"/>
      <c r="F214" s="11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</row>
    <row r="215" spans="1:18" ht="13.2" x14ac:dyDescent="0.25">
      <c r="A215" s="27"/>
      <c r="B215" s="27"/>
      <c r="C215" s="27"/>
      <c r="D215" s="27"/>
      <c r="E215" s="27"/>
      <c r="F215" s="11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</row>
    <row r="216" spans="1:18" ht="13.2" x14ac:dyDescent="0.25">
      <c r="A216" s="27"/>
      <c r="B216" s="27"/>
      <c r="C216" s="27"/>
      <c r="D216" s="27"/>
      <c r="E216" s="27"/>
      <c r="F216" s="11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</row>
    <row r="217" spans="1:18" ht="13.2" x14ac:dyDescent="0.25">
      <c r="A217" s="27"/>
      <c r="B217" s="27"/>
      <c r="C217" s="27"/>
      <c r="D217" s="27"/>
      <c r="E217" s="27"/>
      <c r="F217" s="11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</row>
    <row r="218" spans="1:18" ht="13.2" x14ac:dyDescent="0.25">
      <c r="A218" s="27"/>
      <c r="B218" s="27"/>
      <c r="C218" s="27"/>
      <c r="D218" s="27"/>
      <c r="E218" s="27"/>
      <c r="F218" s="11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</row>
    <row r="219" spans="1:18" ht="13.2" x14ac:dyDescent="0.25">
      <c r="A219" s="27"/>
      <c r="B219" s="27"/>
      <c r="C219" s="27"/>
      <c r="D219" s="27"/>
      <c r="E219" s="27"/>
      <c r="F219" s="11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</row>
    <row r="220" spans="1:18" ht="13.2" x14ac:dyDescent="0.25">
      <c r="A220" s="27"/>
      <c r="B220" s="27"/>
      <c r="C220" s="27"/>
      <c r="D220" s="27"/>
      <c r="E220" s="27"/>
      <c r="F220" s="11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</row>
    <row r="221" spans="1:18" ht="13.2" x14ac:dyDescent="0.25">
      <c r="A221" s="27"/>
      <c r="B221" s="27"/>
      <c r="C221" s="27"/>
      <c r="D221" s="27"/>
      <c r="E221" s="27"/>
      <c r="F221" s="11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</row>
    <row r="222" spans="1:18" ht="13.2" x14ac:dyDescent="0.25">
      <c r="A222" s="27"/>
      <c r="B222" s="27"/>
      <c r="C222" s="27"/>
      <c r="D222" s="27"/>
      <c r="E222" s="27"/>
      <c r="F222" s="11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</row>
    <row r="223" spans="1:18" ht="13.2" x14ac:dyDescent="0.25">
      <c r="A223" s="27"/>
      <c r="B223" s="27"/>
      <c r="C223" s="27"/>
      <c r="D223" s="27"/>
      <c r="E223" s="27"/>
      <c r="F223" s="11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</row>
    <row r="224" spans="1:18" ht="13.2" x14ac:dyDescent="0.25">
      <c r="A224" s="27"/>
      <c r="B224" s="27"/>
      <c r="C224" s="27"/>
      <c r="D224" s="27"/>
      <c r="E224" s="27"/>
      <c r="F224" s="11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</row>
    <row r="225" spans="1:18" ht="13.2" x14ac:dyDescent="0.25">
      <c r="A225" s="27"/>
      <c r="B225" s="27"/>
      <c r="C225" s="27"/>
      <c r="D225" s="27"/>
      <c r="E225" s="27"/>
      <c r="F225" s="11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</row>
    <row r="226" spans="1:18" ht="13.2" x14ac:dyDescent="0.25">
      <c r="A226" s="27"/>
      <c r="B226" s="27"/>
      <c r="C226" s="27"/>
      <c r="D226" s="27"/>
      <c r="E226" s="27"/>
      <c r="F226" s="11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</row>
    <row r="227" spans="1:18" ht="13.2" x14ac:dyDescent="0.25">
      <c r="A227" s="27"/>
      <c r="B227" s="27"/>
      <c r="C227" s="27"/>
      <c r="D227" s="27"/>
      <c r="E227" s="27"/>
      <c r="F227" s="11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</row>
    <row r="228" spans="1:18" ht="13.2" x14ac:dyDescent="0.25">
      <c r="A228" s="27"/>
      <c r="B228" s="27"/>
      <c r="C228" s="27"/>
      <c r="D228" s="27"/>
      <c r="E228" s="27"/>
      <c r="F228" s="11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</row>
    <row r="229" spans="1:18" ht="13.2" x14ac:dyDescent="0.25">
      <c r="A229" s="27"/>
      <c r="B229" s="27"/>
      <c r="C229" s="27"/>
      <c r="D229" s="27"/>
      <c r="E229" s="27"/>
      <c r="F229" s="11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</row>
    <row r="230" spans="1:18" ht="13.2" x14ac:dyDescent="0.25">
      <c r="A230" s="27"/>
      <c r="B230" s="27"/>
      <c r="C230" s="27"/>
      <c r="D230" s="27"/>
      <c r="E230" s="27"/>
      <c r="F230" s="11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</row>
    <row r="231" spans="1:18" ht="13.2" x14ac:dyDescent="0.25">
      <c r="A231" s="27"/>
      <c r="B231" s="27"/>
      <c r="C231" s="27"/>
      <c r="D231" s="27"/>
      <c r="E231" s="27"/>
      <c r="F231" s="11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</row>
    <row r="232" spans="1:18" ht="13.2" x14ac:dyDescent="0.25">
      <c r="A232" s="27"/>
      <c r="B232" s="27"/>
      <c r="C232" s="27"/>
      <c r="D232" s="27"/>
      <c r="E232" s="27"/>
      <c r="F232" s="11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</row>
    <row r="233" spans="1:18" ht="13.2" x14ac:dyDescent="0.25">
      <c r="A233" s="27"/>
      <c r="B233" s="27"/>
      <c r="C233" s="27"/>
      <c r="D233" s="27"/>
      <c r="E233" s="27"/>
      <c r="F233" s="11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</row>
    <row r="234" spans="1:18" ht="13.2" x14ac:dyDescent="0.25">
      <c r="A234" s="27"/>
      <c r="B234" s="27"/>
      <c r="C234" s="27"/>
      <c r="D234" s="27"/>
      <c r="E234" s="27"/>
      <c r="F234" s="11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</row>
    <row r="235" spans="1:18" ht="13.2" x14ac:dyDescent="0.25">
      <c r="A235" s="27"/>
      <c r="B235" s="27"/>
      <c r="C235" s="27"/>
      <c r="D235" s="27"/>
      <c r="E235" s="27"/>
      <c r="F235" s="11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</row>
    <row r="236" spans="1:18" ht="13.2" x14ac:dyDescent="0.25">
      <c r="A236" s="27"/>
      <c r="B236" s="27"/>
      <c r="C236" s="27"/>
      <c r="D236" s="27"/>
      <c r="E236" s="27"/>
      <c r="F236" s="11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</row>
    <row r="237" spans="1:18" ht="13.2" x14ac:dyDescent="0.25">
      <c r="A237" s="27"/>
      <c r="B237" s="27"/>
      <c r="C237" s="27"/>
      <c r="D237" s="27"/>
      <c r="E237" s="27"/>
      <c r="F237" s="11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</row>
    <row r="238" spans="1:18" ht="13.2" x14ac:dyDescent="0.25">
      <c r="A238" s="27"/>
      <c r="B238" s="27"/>
      <c r="C238" s="27"/>
      <c r="D238" s="27"/>
      <c r="E238" s="27"/>
      <c r="F238" s="11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</row>
    <row r="239" spans="1:18" ht="13.2" x14ac:dyDescent="0.25">
      <c r="A239" s="27"/>
      <c r="B239" s="27"/>
      <c r="C239" s="27"/>
      <c r="D239" s="27"/>
      <c r="E239" s="27"/>
      <c r="F239" s="11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</row>
    <row r="240" spans="1:18" ht="13.2" x14ac:dyDescent="0.25">
      <c r="A240" s="27"/>
      <c r="B240" s="27"/>
      <c r="C240" s="27"/>
      <c r="D240" s="27"/>
      <c r="E240" s="27"/>
      <c r="F240" s="11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</row>
    <row r="241" spans="1:18" ht="13.2" x14ac:dyDescent="0.25">
      <c r="A241" s="27"/>
      <c r="B241" s="27"/>
      <c r="C241" s="27"/>
      <c r="D241" s="27"/>
      <c r="E241" s="27"/>
      <c r="F241" s="11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</row>
    <row r="242" spans="1:18" ht="13.2" x14ac:dyDescent="0.25">
      <c r="A242" s="27"/>
      <c r="B242" s="27"/>
      <c r="C242" s="27"/>
      <c r="D242" s="27"/>
      <c r="E242" s="27"/>
      <c r="F242" s="11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</row>
    <row r="243" spans="1:18" ht="13.2" x14ac:dyDescent="0.25">
      <c r="A243" s="27"/>
      <c r="B243" s="27"/>
      <c r="C243" s="27"/>
      <c r="D243" s="27"/>
      <c r="E243" s="27"/>
      <c r="F243" s="11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</row>
    <row r="244" spans="1:18" ht="13.2" x14ac:dyDescent="0.25">
      <c r="A244" s="27"/>
      <c r="B244" s="27"/>
      <c r="C244" s="27"/>
      <c r="D244" s="27"/>
      <c r="E244" s="27"/>
      <c r="F244" s="11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</row>
    <row r="245" spans="1:18" ht="13.2" x14ac:dyDescent="0.25">
      <c r="A245" s="27"/>
      <c r="B245" s="27"/>
      <c r="C245" s="27"/>
      <c r="D245" s="27"/>
      <c r="E245" s="27"/>
      <c r="F245" s="11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</row>
    <row r="246" spans="1:18" ht="13.2" x14ac:dyDescent="0.25">
      <c r="A246" s="27"/>
      <c r="B246" s="27"/>
      <c r="C246" s="27"/>
      <c r="D246" s="27"/>
      <c r="E246" s="27"/>
      <c r="F246" s="11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</row>
    <row r="247" spans="1:18" ht="13.2" x14ac:dyDescent="0.25">
      <c r="A247" s="27"/>
      <c r="B247" s="27"/>
      <c r="C247" s="27"/>
      <c r="D247" s="27"/>
      <c r="E247" s="27"/>
      <c r="F247" s="11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</row>
    <row r="248" spans="1:18" ht="13.2" x14ac:dyDescent="0.25">
      <c r="A248" s="27"/>
      <c r="B248" s="27"/>
      <c r="C248" s="27"/>
      <c r="D248" s="27"/>
      <c r="E248" s="27"/>
      <c r="F248" s="11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</row>
    <row r="249" spans="1:18" ht="13.2" x14ac:dyDescent="0.25">
      <c r="A249" s="27"/>
      <c r="B249" s="27"/>
      <c r="C249" s="27"/>
      <c r="D249" s="27"/>
      <c r="E249" s="27"/>
      <c r="F249" s="11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</row>
    <row r="250" spans="1:18" ht="13.2" x14ac:dyDescent="0.25">
      <c r="A250" s="27"/>
      <c r="B250" s="27"/>
      <c r="C250" s="27"/>
      <c r="D250" s="27"/>
      <c r="E250" s="27"/>
      <c r="F250" s="11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</row>
    <row r="251" spans="1:18" ht="13.2" x14ac:dyDescent="0.25">
      <c r="A251" s="27"/>
      <c r="B251" s="27"/>
      <c r="C251" s="27"/>
      <c r="D251" s="27"/>
      <c r="E251" s="27"/>
      <c r="F251" s="11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</row>
    <row r="252" spans="1:18" ht="13.2" x14ac:dyDescent="0.25">
      <c r="A252" s="27"/>
      <c r="B252" s="27"/>
      <c r="C252" s="27"/>
      <c r="D252" s="27"/>
      <c r="E252" s="27"/>
      <c r="F252" s="11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</row>
    <row r="253" spans="1:18" ht="13.2" x14ac:dyDescent="0.25">
      <c r="A253" s="27"/>
      <c r="B253" s="27"/>
      <c r="C253" s="27"/>
      <c r="D253" s="27"/>
      <c r="E253" s="27"/>
      <c r="F253" s="11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</row>
    <row r="254" spans="1:18" ht="13.2" x14ac:dyDescent="0.25">
      <c r="A254" s="27"/>
      <c r="B254" s="27"/>
      <c r="C254" s="27"/>
      <c r="D254" s="27"/>
      <c r="E254" s="27"/>
      <c r="F254" s="11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</row>
    <row r="255" spans="1:18" ht="13.2" x14ac:dyDescent="0.25">
      <c r="A255" s="27"/>
      <c r="B255" s="27"/>
      <c r="C255" s="27"/>
      <c r="D255" s="27"/>
      <c r="E255" s="27"/>
      <c r="F255" s="11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</row>
    <row r="256" spans="1:18" ht="13.2" x14ac:dyDescent="0.25">
      <c r="A256" s="27"/>
      <c r="B256" s="27"/>
      <c r="C256" s="27"/>
      <c r="D256" s="27"/>
      <c r="E256" s="27"/>
      <c r="F256" s="11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</row>
    <row r="257" spans="1:18" ht="13.2" x14ac:dyDescent="0.25">
      <c r="A257" s="27"/>
      <c r="B257" s="27"/>
      <c r="C257" s="27"/>
      <c r="D257" s="27"/>
      <c r="E257" s="27"/>
      <c r="F257" s="11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</row>
    <row r="258" spans="1:18" ht="13.2" x14ac:dyDescent="0.25">
      <c r="A258" s="27"/>
      <c r="B258" s="27"/>
      <c r="C258" s="27"/>
      <c r="D258" s="27"/>
      <c r="E258" s="27"/>
      <c r="F258" s="11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</row>
    <row r="259" spans="1:18" ht="13.2" x14ac:dyDescent="0.25">
      <c r="A259" s="27"/>
      <c r="B259" s="27"/>
      <c r="C259" s="27"/>
      <c r="D259" s="27"/>
      <c r="E259" s="27"/>
      <c r="F259" s="11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</row>
    <row r="260" spans="1:18" ht="13.2" x14ac:dyDescent="0.25">
      <c r="A260" s="27"/>
      <c r="B260" s="27"/>
      <c r="C260" s="27"/>
      <c r="D260" s="27"/>
      <c r="E260" s="27"/>
      <c r="F260" s="11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</row>
    <row r="261" spans="1:18" ht="13.2" x14ac:dyDescent="0.25">
      <c r="A261" s="27"/>
      <c r="B261" s="27"/>
      <c r="C261" s="27"/>
      <c r="D261" s="27"/>
      <c r="E261" s="27"/>
      <c r="F261" s="11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</row>
    <row r="262" spans="1:18" ht="13.2" x14ac:dyDescent="0.25">
      <c r="A262" s="27"/>
      <c r="B262" s="27"/>
      <c r="C262" s="27"/>
      <c r="D262" s="27"/>
      <c r="E262" s="27"/>
      <c r="F262" s="11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</row>
    <row r="263" spans="1:18" ht="13.2" x14ac:dyDescent="0.25">
      <c r="A263" s="27"/>
      <c r="B263" s="27"/>
      <c r="C263" s="27"/>
      <c r="D263" s="27"/>
      <c r="E263" s="27"/>
      <c r="F263" s="11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</row>
  </sheetData>
  <dataValidations count="1">
    <dataValidation type="custom" allowBlank="1" showErrorMessage="1" sqref="C2:C263" xr:uid="{00000000-0002-0000-0000-000000000000}">
      <formula1>EXACT(C2, UPPER(C2))</formula1>
    </dataValidation>
  </dataValidations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  <hyperlink ref="K35" r:id="rId34" xr:uid="{00000000-0004-0000-0000-000021000000}"/>
    <hyperlink ref="K36" r:id="rId35" xr:uid="{00000000-0004-0000-0000-000022000000}"/>
    <hyperlink ref="K37" r:id="rId36" xr:uid="{00000000-0004-0000-0000-000023000000}"/>
    <hyperlink ref="K38" r:id="rId37" xr:uid="{00000000-0004-0000-0000-000024000000}"/>
    <hyperlink ref="K39" r:id="rId38" xr:uid="{00000000-0004-0000-0000-000025000000}"/>
    <hyperlink ref="K40" r:id="rId39" xr:uid="{00000000-0004-0000-0000-000026000000}"/>
    <hyperlink ref="K41" r:id="rId40" xr:uid="{00000000-0004-0000-0000-000027000000}"/>
    <hyperlink ref="K42" r:id="rId41" xr:uid="{00000000-0004-0000-0000-000028000000}"/>
    <hyperlink ref="K43" r:id="rId42" xr:uid="{00000000-0004-0000-0000-000029000000}"/>
    <hyperlink ref="K44" r:id="rId43" xr:uid="{00000000-0004-0000-0000-00002A000000}"/>
    <hyperlink ref="K45" r:id="rId44" xr:uid="{00000000-0004-0000-0000-00002B000000}"/>
    <hyperlink ref="K46" r:id="rId45" xr:uid="{00000000-0004-0000-0000-00002C000000}"/>
    <hyperlink ref="K47" r:id="rId46" xr:uid="{00000000-0004-0000-0000-00002D000000}"/>
    <hyperlink ref="K48" r:id="rId47" xr:uid="{00000000-0004-0000-0000-00002E000000}"/>
    <hyperlink ref="K49" r:id="rId48" xr:uid="{00000000-0004-0000-0000-00002F000000}"/>
    <hyperlink ref="K50" r:id="rId49" xr:uid="{00000000-0004-0000-0000-000030000000}"/>
    <hyperlink ref="K51" r:id="rId50" xr:uid="{00000000-0004-0000-0000-000031000000}"/>
    <hyperlink ref="K52" r:id="rId51" xr:uid="{00000000-0004-0000-0000-000032000000}"/>
    <hyperlink ref="K53" r:id="rId52" xr:uid="{00000000-0004-0000-0000-000033000000}"/>
    <hyperlink ref="K54" r:id="rId53" xr:uid="{00000000-0004-0000-0000-000034000000}"/>
    <hyperlink ref="K55" r:id="rId54" xr:uid="{00000000-0004-0000-0000-000035000000}"/>
    <hyperlink ref="K56" r:id="rId55" xr:uid="{00000000-0004-0000-0000-000036000000}"/>
    <hyperlink ref="K57" r:id="rId56" xr:uid="{00000000-0004-0000-0000-000037000000}"/>
    <hyperlink ref="K58" r:id="rId57" xr:uid="{00000000-0004-0000-0000-000038000000}"/>
    <hyperlink ref="K59" r:id="rId58" xr:uid="{00000000-0004-0000-0000-000039000000}"/>
    <hyperlink ref="K60" r:id="rId59" xr:uid="{00000000-0004-0000-0000-00003A000000}"/>
    <hyperlink ref="K61" r:id="rId60" xr:uid="{00000000-0004-0000-0000-00003B000000}"/>
    <hyperlink ref="K62" r:id="rId61" xr:uid="{00000000-0004-0000-0000-00003C000000}"/>
    <hyperlink ref="K63" r:id="rId62" xr:uid="{00000000-0004-0000-0000-00003D000000}"/>
    <hyperlink ref="K64" r:id="rId63" xr:uid="{00000000-0004-0000-0000-00003E000000}"/>
    <hyperlink ref="K65" r:id="rId64" xr:uid="{00000000-0004-0000-0000-00003F000000}"/>
    <hyperlink ref="K66" r:id="rId65" xr:uid="{00000000-0004-0000-0000-000040000000}"/>
    <hyperlink ref="K67" r:id="rId66" xr:uid="{00000000-0004-0000-0000-000041000000}"/>
    <hyperlink ref="K68" r:id="rId67" xr:uid="{00000000-0004-0000-0000-000042000000}"/>
    <hyperlink ref="K69" r:id="rId68" xr:uid="{00000000-0004-0000-0000-000043000000}"/>
    <hyperlink ref="K70" r:id="rId69" xr:uid="{00000000-0004-0000-0000-000044000000}"/>
    <hyperlink ref="K71" r:id="rId70" xr:uid="{00000000-0004-0000-0000-000045000000}"/>
    <hyperlink ref="K72" r:id="rId71" xr:uid="{00000000-0004-0000-0000-000046000000}"/>
    <hyperlink ref="K73" r:id="rId72" xr:uid="{00000000-0004-0000-0000-000047000000}"/>
    <hyperlink ref="K74" r:id="rId73" xr:uid="{00000000-0004-0000-0000-000048000000}"/>
    <hyperlink ref="K75" r:id="rId74" xr:uid="{00000000-0004-0000-0000-000049000000}"/>
    <hyperlink ref="K76" r:id="rId75" xr:uid="{00000000-0004-0000-0000-00004A000000}"/>
    <hyperlink ref="K77" r:id="rId76" xr:uid="{00000000-0004-0000-0000-00004B000000}"/>
    <hyperlink ref="K78" r:id="rId77" xr:uid="{00000000-0004-0000-0000-00004C000000}"/>
    <hyperlink ref="K79" r:id="rId78" xr:uid="{00000000-0004-0000-0000-00004D000000}"/>
    <hyperlink ref="K80" r:id="rId79" xr:uid="{00000000-0004-0000-0000-00004E000000}"/>
    <hyperlink ref="K81" r:id="rId80" xr:uid="{00000000-0004-0000-0000-00004F000000}"/>
    <hyperlink ref="K82" r:id="rId81" xr:uid="{00000000-0004-0000-0000-000050000000}"/>
    <hyperlink ref="K83" r:id="rId82" xr:uid="{00000000-0004-0000-0000-000051000000}"/>
    <hyperlink ref="K84" r:id="rId83" xr:uid="{00000000-0004-0000-0000-000052000000}"/>
    <hyperlink ref="K85" r:id="rId84" xr:uid="{00000000-0004-0000-0000-000053000000}"/>
    <hyperlink ref="K86" r:id="rId85" xr:uid="{00000000-0004-0000-0000-000054000000}"/>
    <hyperlink ref="K87" r:id="rId86" xr:uid="{00000000-0004-0000-0000-000055000000}"/>
    <hyperlink ref="K88" r:id="rId87" xr:uid="{00000000-0004-0000-0000-000056000000}"/>
    <hyperlink ref="K89" r:id="rId88" xr:uid="{00000000-0004-0000-0000-000057000000}"/>
    <hyperlink ref="K90" r:id="rId89" xr:uid="{00000000-0004-0000-0000-000058000000}"/>
    <hyperlink ref="K91" r:id="rId90" xr:uid="{00000000-0004-0000-0000-000059000000}"/>
    <hyperlink ref="K92" r:id="rId91" xr:uid="{00000000-0004-0000-0000-00005A000000}"/>
    <hyperlink ref="K93" r:id="rId92" xr:uid="{00000000-0004-0000-0000-00005B000000}"/>
    <hyperlink ref="K94" r:id="rId93" xr:uid="{00000000-0004-0000-0000-00005C000000}"/>
    <hyperlink ref="K95" r:id="rId94" xr:uid="{00000000-0004-0000-0000-00005D000000}"/>
    <hyperlink ref="K96" r:id="rId95" xr:uid="{00000000-0004-0000-0000-00005E000000}"/>
    <hyperlink ref="K97" r:id="rId96" xr:uid="{00000000-0004-0000-0000-00005F000000}"/>
    <hyperlink ref="K98" r:id="rId97" xr:uid="{00000000-0004-0000-0000-000060000000}"/>
    <hyperlink ref="K99" r:id="rId98" xr:uid="{00000000-0004-0000-0000-000061000000}"/>
    <hyperlink ref="K100" r:id="rId99" xr:uid="{00000000-0004-0000-0000-000062000000}"/>
    <hyperlink ref="K101" r:id="rId100" xr:uid="{00000000-0004-0000-0000-000063000000}"/>
    <hyperlink ref="K102" r:id="rId101" xr:uid="{00000000-0004-0000-0000-000064000000}"/>
    <hyperlink ref="K103" r:id="rId102" xr:uid="{00000000-0004-0000-0000-000065000000}"/>
    <hyperlink ref="K104" r:id="rId103" xr:uid="{00000000-0004-0000-0000-000066000000}"/>
    <hyperlink ref="K105" r:id="rId104" xr:uid="{00000000-0004-0000-0000-000067000000}"/>
    <hyperlink ref="K106" r:id="rId105" xr:uid="{00000000-0004-0000-0000-000068000000}"/>
    <hyperlink ref="K107" r:id="rId106" xr:uid="{00000000-0004-0000-0000-000069000000}"/>
    <hyperlink ref="K108" r:id="rId107" xr:uid="{00000000-0004-0000-0000-00006A000000}"/>
    <hyperlink ref="K109" r:id="rId108" xr:uid="{00000000-0004-0000-0000-00006B000000}"/>
    <hyperlink ref="K110" r:id="rId109" xr:uid="{00000000-0004-0000-0000-00006C000000}"/>
    <hyperlink ref="K111" r:id="rId110" xr:uid="{00000000-0004-0000-0000-00006D000000}"/>
    <hyperlink ref="K112" r:id="rId111" xr:uid="{00000000-0004-0000-0000-00006E000000}"/>
    <hyperlink ref="K113" r:id="rId112" xr:uid="{00000000-0004-0000-0000-00006F000000}"/>
    <hyperlink ref="K114" r:id="rId113" xr:uid="{00000000-0004-0000-0000-000070000000}"/>
    <hyperlink ref="K115" r:id="rId114" xr:uid="{00000000-0004-0000-0000-000071000000}"/>
    <hyperlink ref="K116" r:id="rId115" xr:uid="{00000000-0004-0000-0000-000072000000}"/>
    <hyperlink ref="K117" r:id="rId116" xr:uid="{00000000-0004-0000-0000-000073000000}"/>
    <hyperlink ref="K118" r:id="rId117" xr:uid="{00000000-0004-0000-0000-000074000000}"/>
    <hyperlink ref="K119" r:id="rId118" xr:uid="{00000000-0004-0000-0000-000075000000}"/>
    <hyperlink ref="K120" r:id="rId119" xr:uid="{00000000-0004-0000-0000-000076000000}"/>
    <hyperlink ref="K121" r:id="rId120" xr:uid="{00000000-0004-0000-0000-000077000000}"/>
    <hyperlink ref="K122" r:id="rId121" xr:uid="{00000000-0004-0000-0000-000078000000}"/>
    <hyperlink ref="K123" r:id="rId122" xr:uid="{00000000-0004-0000-0000-000079000000}"/>
    <hyperlink ref="K124" r:id="rId123" xr:uid="{00000000-0004-0000-0000-00007A000000}"/>
    <hyperlink ref="K125" r:id="rId124" xr:uid="{00000000-0004-0000-0000-00007B000000}"/>
    <hyperlink ref="K126" r:id="rId125" xr:uid="{00000000-0004-0000-0000-00007C000000}"/>
    <hyperlink ref="K127" r:id="rId126" xr:uid="{00000000-0004-0000-0000-00007D000000}"/>
    <hyperlink ref="K128" r:id="rId127" xr:uid="{00000000-0004-0000-0000-00007E000000}"/>
    <hyperlink ref="K129" r:id="rId128" xr:uid="{00000000-0004-0000-0000-00007F000000}"/>
    <hyperlink ref="K130" r:id="rId129" xr:uid="{00000000-0004-0000-0000-000080000000}"/>
    <hyperlink ref="K131" r:id="rId130" xr:uid="{00000000-0004-0000-0000-000081000000}"/>
    <hyperlink ref="K132" r:id="rId131" xr:uid="{00000000-0004-0000-0000-000082000000}"/>
    <hyperlink ref="K133" r:id="rId132" xr:uid="{00000000-0004-0000-0000-000083000000}"/>
    <hyperlink ref="K134" r:id="rId133" xr:uid="{00000000-0004-0000-0000-000084000000}"/>
    <hyperlink ref="K135" r:id="rId134" xr:uid="{00000000-0004-0000-0000-000085000000}"/>
    <hyperlink ref="K136" r:id="rId135" xr:uid="{00000000-0004-0000-0000-000086000000}"/>
    <hyperlink ref="K137" r:id="rId136" xr:uid="{00000000-0004-0000-0000-000087000000}"/>
    <hyperlink ref="K138" r:id="rId137" xr:uid="{00000000-0004-0000-0000-000088000000}"/>
    <hyperlink ref="K139" r:id="rId138" xr:uid="{00000000-0004-0000-0000-000089000000}"/>
    <hyperlink ref="K140" r:id="rId139" xr:uid="{00000000-0004-0000-0000-00008A000000}"/>
    <hyperlink ref="K141" r:id="rId140" xr:uid="{00000000-0004-0000-0000-00008B000000}"/>
    <hyperlink ref="K142" r:id="rId141" xr:uid="{00000000-0004-0000-0000-00008C000000}"/>
    <hyperlink ref="K143" r:id="rId142" xr:uid="{00000000-0004-0000-0000-00008D000000}"/>
    <hyperlink ref="K144" r:id="rId143" xr:uid="{00000000-0004-0000-0000-00008E000000}"/>
    <hyperlink ref="K145" r:id="rId144" xr:uid="{00000000-0004-0000-0000-00008F000000}"/>
    <hyperlink ref="K146" r:id="rId145" xr:uid="{00000000-0004-0000-0000-000090000000}"/>
    <hyperlink ref="K147" r:id="rId146" xr:uid="{00000000-0004-0000-0000-000091000000}"/>
    <hyperlink ref="K148" r:id="rId147" xr:uid="{00000000-0004-0000-0000-000092000000}"/>
    <hyperlink ref="K149" r:id="rId148" xr:uid="{00000000-0004-0000-0000-000093000000}"/>
    <hyperlink ref="K150" r:id="rId149" xr:uid="{00000000-0004-0000-0000-000094000000}"/>
    <hyperlink ref="K151" r:id="rId150" xr:uid="{00000000-0004-0000-0000-000095000000}"/>
    <hyperlink ref="K152" r:id="rId151" xr:uid="{00000000-0004-0000-0000-000096000000}"/>
    <hyperlink ref="K153" r:id="rId152" xr:uid="{00000000-0004-0000-0000-000097000000}"/>
    <hyperlink ref="K154" r:id="rId153" xr:uid="{00000000-0004-0000-0000-000098000000}"/>
    <hyperlink ref="K155" r:id="rId154" xr:uid="{00000000-0004-0000-0000-000099000000}"/>
    <hyperlink ref="K156" r:id="rId155" xr:uid="{00000000-0004-0000-0000-00009A000000}"/>
    <hyperlink ref="K157" r:id="rId156" xr:uid="{00000000-0004-0000-0000-00009B000000}"/>
    <hyperlink ref="K158" r:id="rId157" xr:uid="{00000000-0004-0000-0000-00009C000000}"/>
    <hyperlink ref="K159" r:id="rId158" xr:uid="{00000000-0004-0000-0000-00009D000000}"/>
    <hyperlink ref="K160" r:id="rId159" xr:uid="{00000000-0004-0000-0000-00009E000000}"/>
    <hyperlink ref="K161" r:id="rId160" xr:uid="{00000000-0004-0000-0000-00009F000000}"/>
    <hyperlink ref="K162" r:id="rId161" xr:uid="{00000000-0004-0000-0000-0000A0000000}"/>
    <hyperlink ref="K163" r:id="rId162" xr:uid="{00000000-0004-0000-0000-0000A1000000}"/>
  </hyperlinks>
  <printOptions horizontalCentered="1"/>
  <pageMargins left="0.7" right="0.7" top="0.75" bottom="0.75" header="0" footer="0"/>
  <pageSetup fitToHeight="0" pageOrder="overThenDown" orientation="portrait" cellComments="atEnd"/>
  <tableParts count="1">
    <tablePart r:id="rId16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A1000"/>
  <sheetViews>
    <sheetView tabSelected="1" workbookViewId="0"/>
  </sheetViews>
  <sheetFormatPr defaultColWidth="12.6640625" defaultRowHeight="15.75" customHeight="1" x14ac:dyDescent="0.25"/>
  <cols>
    <col min="1" max="1" width="17" customWidth="1"/>
    <col min="2" max="2" width="27.44140625" customWidth="1"/>
    <col min="3" max="3" width="19.77734375" customWidth="1"/>
    <col min="4" max="4" width="27.44140625" customWidth="1"/>
    <col min="5" max="5" width="40" customWidth="1"/>
    <col min="6" max="6" width="17.77734375" customWidth="1"/>
    <col min="7" max="7" width="38.21875" customWidth="1"/>
    <col min="8" max="8" width="14" customWidth="1"/>
    <col min="9" max="9" width="53.21875" customWidth="1"/>
    <col min="10" max="10" width="61.77734375" customWidth="1"/>
    <col min="11" max="11" width="18.33203125" customWidth="1"/>
    <col min="12" max="12" width="22.21875" customWidth="1"/>
    <col min="13" max="13" width="29.33203125" customWidth="1"/>
    <col min="14" max="14" width="31.33203125" customWidth="1"/>
  </cols>
  <sheetData>
    <row r="1" spans="1:27" ht="22.5" customHeight="1" x14ac:dyDescent="0.25">
      <c r="A1" s="11" t="s">
        <v>3</v>
      </c>
      <c r="B1" s="11" t="s">
        <v>7</v>
      </c>
      <c r="C1" s="11" t="s">
        <v>10</v>
      </c>
      <c r="D1" s="11" t="s">
        <v>12</v>
      </c>
      <c r="E1" s="11" t="s">
        <v>13</v>
      </c>
      <c r="F1" s="11" t="s">
        <v>9</v>
      </c>
      <c r="G1" s="11" t="s">
        <v>15</v>
      </c>
      <c r="H1" s="11" t="s">
        <v>11</v>
      </c>
      <c r="I1" s="11" t="s">
        <v>16</v>
      </c>
      <c r="J1" s="11" t="s">
        <v>20</v>
      </c>
      <c r="K1" s="24" t="s">
        <v>22</v>
      </c>
      <c r="L1" s="26" t="s">
        <v>25</v>
      </c>
      <c r="M1" s="26" t="s">
        <v>27</v>
      </c>
      <c r="N1" s="26" t="s">
        <v>32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22.5" customHeight="1" x14ac:dyDescent="0.25">
      <c r="A2" s="29">
        <f ca="1">IFERROR(__xludf.DUMMYFUNCTION("FILTER({'Form Responses 1'!A2:B1000, 'Form Responses 1'!C2:I1000, 'Form Responses 1'!K2:K1000}, 'Form Responses 1'!A2:A1000&lt;&gt;"""")"),46248.562017581)</f>
        <v>46248.562017581004</v>
      </c>
      <c r="B2" s="11" t="str">
        <f ca="1">IFERROR(__xludf.DUMMYFUNCTION("""COMPUTED_VALUE"""),"vu1f2526010@pvppcoe.ac.in")</f>
        <v>vu1f2526010@pvppcoe.ac.in</v>
      </c>
      <c r="C2" s="11" t="str">
        <f ca="1">IFERROR(__xludf.DUMMYFUNCTION("""COMPUTED_VALUE"""),"VU1F2526010 ")</f>
        <v xml:space="preserve">VU1F2526010 </v>
      </c>
      <c r="D2" s="11" t="str">
        <f ca="1">IFERROR(__xludf.DUMMYFUNCTION("""COMPUTED_VALUE"""),"vu1f2526010@pvppcoe.ac.in")</f>
        <v>vu1f2526010@pvppcoe.ac.in</v>
      </c>
      <c r="E2" s="11" t="str">
        <f ca="1">IFERROR(__xludf.DUMMYFUNCTION("""COMPUTED_VALUE"""),"Patil Karan Sandesh ")</f>
        <v xml:space="preserve">Patil Karan Sandesh </v>
      </c>
      <c r="F2" s="11">
        <f ca="1">IFERROR(__xludf.DUMMYFUNCTION("""COMPUTED_VALUE"""),8879107327)</f>
        <v>8879107327</v>
      </c>
      <c r="G2" s="11" t="str">
        <f ca="1">IFERROR(__xludf.DUMMYFUNCTION("""COMPUTED_VALUE"""),"Second Year (Graduation Year of Passing:- 2029)")</f>
        <v>Second Year (Graduation Year of Passing:- 2029)</v>
      </c>
      <c r="H2" s="34" t="str">
        <f ca="1">IFERROR(__xludf.DUMMYFUNCTION("""COMPUTED_VALUE"""),"CS")</f>
        <v>CS</v>
      </c>
      <c r="I2" s="11" t="str">
        <f ca="1">IFERROR(__xludf.DUMMYFUNCTION("""COMPUTED_VALUE"""),"Complete C2C (Aptitude + Soft Skills + Technical) training - Rs 3500/-")</f>
        <v>Complete C2C (Aptitude + Soft Skills + Technical) training - Rs 3500/-</v>
      </c>
      <c r="J2" s="36" t="str">
        <f ca="1">IFERROR(__xludf.DUMMYFUNCTION("""COMPUTED_VALUE"""),"https://drive.google.com/open?id=1AIVzemuGUNnX0w2-MclkGOZiHj5HB616")</f>
        <v>https://drive.google.com/open?id=1AIVzemuGUNnX0w2-MclkGOZiHj5HB616</v>
      </c>
      <c r="K2" s="37">
        <v>3500</v>
      </c>
      <c r="L2" s="38" t="s">
        <v>98</v>
      </c>
      <c r="M2" s="38" t="s">
        <v>101</v>
      </c>
      <c r="N2" s="37" t="s">
        <v>104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22.5" customHeight="1" x14ac:dyDescent="0.25">
      <c r="A3" s="29">
        <f ca="1">IFERROR(__xludf.DUMMYFUNCTION("""COMPUTED_VALUE"""),46248.5555635648)</f>
        <v>46248.555563564798</v>
      </c>
      <c r="B3" s="11" t="str">
        <f ca="1">IFERROR(__xludf.DUMMYFUNCTION("""COMPUTED_VALUE"""),"vu2f2526077@pvppcoe.ac.in")</f>
        <v>vu2f2526077@pvppcoe.ac.in</v>
      </c>
      <c r="C3" s="11" t="str">
        <f ca="1">IFERROR(__xludf.DUMMYFUNCTION("""COMPUTED_VALUE"""),"VU2F2526077")</f>
        <v>VU2F2526077</v>
      </c>
      <c r="D3" s="11" t="str">
        <f ca="1">IFERROR(__xludf.DUMMYFUNCTION("""COMPUTED_VALUE"""),"vu2f2526077@pvppcoe.ac.in ")</f>
        <v xml:space="preserve">vu2f2526077@pvppcoe.ac.in </v>
      </c>
      <c r="E3" s="11" t="str">
        <f ca="1">IFERROR(__xludf.DUMMYFUNCTION("""COMPUTED_VALUE"""),"PUPPALA SOHAM NARENDRA")</f>
        <v>PUPPALA SOHAM NARENDRA</v>
      </c>
      <c r="F3" s="11">
        <f ca="1">IFERROR(__xludf.DUMMYFUNCTION("""COMPUTED_VALUE"""),9757214594)</f>
        <v>9757214594</v>
      </c>
      <c r="G3" s="11" t="str">
        <f ca="1">IFERROR(__xludf.DUMMYFUNCTION("""COMPUTED_VALUE"""),"Second Year (Graduation Year of Passing:- 2029)")</f>
        <v>Second Year (Graduation Year of Passing:- 2029)</v>
      </c>
      <c r="H3" s="34" t="str">
        <f ca="1">IFERROR(__xludf.DUMMYFUNCTION("""COMPUTED_VALUE"""),"AI &amp; ML")</f>
        <v>AI &amp; ML</v>
      </c>
      <c r="I3" s="11" t="str">
        <f ca="1">IFERROR(__xludf.DUMMYFUNCTION("""COMPUTED_VALUE"""),"Complete C2C (Aptitude + Soft Skills + Technical) training - Rs 3500/-")</f>
        <v>Complete C2C (Aptitude + Soft Skills + Technical) training - Rs 3500/-</v>
      </c>
      <c r="J3" s="36" t="str">
        <f ca="1">IFERROR(__xludf.DUMMYFUNCTION("""COMPUTED_VALUE"""),"https://drive.google.com/open?id=1LI5OwaswJqQWkdvYFYo9U-K_K9kW8Z7P")</f>
        <v>https://drive.google.com/open?id=1LI5OwaswJqQWkdvYFYo9U-K_K9kW8Z7P</v>
      </c>
      <c r="K3" s="44">
        <v>3500</v>
      </c>
      <c r="L3" s="45" t="s">
        <v>98</v>
      </c>
      <c r="M3" s="45" t="s">
        <v>101</v>
      </c>
      <c r="N3" s="37" t="s">
        <v>104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22.5" customHeight="1" x14ac:dyDescent="0.25">
      <c r="A4" s="29">
        <f ca="1">IFERROR(__xludf.DUMMYFUNCTION("""COMPUTED_VALUE"""),46248.5521008333)</f>
        <v>46248.552100833302</v>
      </c>
      <c r="B4" s="11" t="str">
        <f ca="1">IFERROR(__xludf.DUMMYFUNCTION("""COMPUTED_VALUE"""),"vu1f2526033@pvppcoe.ac.in")</f>
        <v>vu1f2526033@pvppcoe.ac.in</v>
      </c>
      <c r="C4" s="11" t="str">
        <f ca="1">IFERROR(__xludf.DUMMYFUNCTION("""COMPUTED_VALUE"""),"VU1F2526033")</f>
        <v>VU1F2526033</v>
      </c>
      <c r="D4" s="11" t="str">
        <f ca="1">IFERROR(__xludf.DUMMYFUNCTION("""COMPUTED_VALUE"""),"vu1f2526033@pvppcoe.ac.in")</f>
        <v>vu1f2526033@pvppcoe.ac.in</v>
      </c>
      <c r="E4" s="11" t="str">
        <f ca="1">IFERROR(__xludf.DUMMYFUNCTION("""COMPUTED_VALUE"""),"Devghare Harsh Bharat")</f>
        <v>Devghare Harsh Bharat</v>
      </c>
      <c r="F4" s="11">
        <f ca="1">IFERROR(__xludf.DUMMYFUNCTION("""COMPUTED_VALUE"""),9766592230)</f>
        <v>9766592230</v>
      </c>
      <c r="G4" s="11" t="str">
        <f ca="1">IFERROR(__xludf.DUMMYFUNCTION("""COMPUTED_VALUE"""),"Second Year (Graduation Year of Passing:- 2029)")</f>
        <v>Second Year (Graduation Year of Passing:- 2029)</v>
      </c>
      <c r="H4" s="34" t="str">
        <f ca="1">IFERROR(__xludf.DUMMYFUNCTION("""COMPUTED_VALUE"""),"CS")</f>
        <v>CS</v>
      </c>
      <c r="I4" s="11" t="str">
        <f ca="1">IFERROR(__xludf.DUMMYFUNCTION("""COMPUTED_VALUE"""),"Complete C2C (Aptitude + Soft Skills + Technical) training - Rs 3500/-")</f>
        <v>Complete C2C (Aptitude + Soft Skills + Technical) training - Rs 3500/-</v>
      </c>
      <c r="J4" s="36" t="str">
        <f ca="1">IFERROR(__xludf.DUMMYFUNCTION("""COMPUTED_VALUE"""),"https://drive.google.com/open?id=1d8Q1K9QYDOWGLQOBwEj6uzFf_KKeSF0v")</f>
        <v>https://drive.google.com/open?id=1d8Q1K9QYDOWGLQOBwEj6uzFf_KKeSF0v</v>
      </c>
      <c r="K4" s="37">
        <v>3500</v>
      </c>
      <c r="L4" s="38" t="s">
        <v>98</v>
      </c>
      <c r="M4" s="38" t="s">
        <v>101</v>
      </c>
      <c r="N4" s="37" t="s">
        <v>104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22.5" customHeight="1" x14ac:dyDescent="0.25">
      <c r="A5" s="29">
        <f ca="1">IFERROR(__xludf.DUMMYFUNCTION("""COMPUTED_VALUE"""),46248.549025081)</f>
        <v>46248.549025081003</v>
      </c>
      <c r="B5" s="11" t="str">
        <f ca="1">IFERROR(__xludf.DUMMYFUNCTION("""COMPUTED_VALUE"""),"vu4f2526017@pvppcoe.ac.in")</f>
        <v>vu4f2526017@pvppcoe.ac.in</v>
      </c>
      <c r="C5" s="11" t="str">
        <f ca="1">IFERROR(__xludf.DUMMYFUNCTION("""COMPUTED_VALUE"""),"VU4F2526017 ")</f>
        <v xml:space="preserve">VU4F2526017 </v>
      </c>
      <c r="D5" s="11" t="str">
        <f ca="1">IFERROR(__xludf.DUMMYFUNCTION("""COMPUTED_VALUE"""),"vu4f2526017@pvppcoe.ac.in")</f>
        <v>vu4f2526017@pvppcoe.ac.in</v>
      </c>
      <c r="E5" s="11" t="str">
        <f ca="1">IFERROR(__xludf.DUMMYFUNCTION("""COMPUTED_VALUE"""),"Tatikonda Sathwik Devadas ")</f>
        <v xml:space="preserve">Tatikonda Sathwik Devadas </v>
      </c>
      <c r="F5" s="11">
        <f ca="1">IFERROR(__xludf.DUMMYFUNCTION("""COMPUTED_VALUE"""),9987923493)</f>
        <v>9987923493</v>
      </c>
      <c r="G5" s="11" t="str">
        <f ca="1">IFERROR(__xludf.DUMMYFUNCTION("""COMPUTED_VALUE"""),"Second Year (Graduation Year of Passing:- 2029)")</f>
        <v>Second Year (Graduation Year of Passing:- 2029)</v>
      </c>
      <c r="H5" s="34" t="str">
        <f ca="1">IFERROR(__xludf.DUMMYFUNCTION("""COMPUTED_VALUE"""),"IT")</f>
        <v>IT</v>
      </c>
      <c r="I5" s="11" t="str">
        <f ca="1">IFERROR(__xludf.DUMMYFUNCTION("""COMPUTED_VALUE"""),"Complete C2C (Aptitude + Soft Skills + Technical) training - Rs 3500/-")</f>
        <v>Complete C2C (Aptitude + Soft Skills + Technical) training - Rs 3500/-</v>
      </c>
      <c r="J5" s="36" t="str">
        <f ca="1">IFERROR(__xludf.DUMMYFUNCTION("""COMPUTED_VALUE"""),"https://drive.google.com/open?id=17mC4JteHJej5ZOSWWl-hVeITQGkqOAxC")</f>
        <v>https://drive.google.com/open?id=17mC4JteHJej5ZOSWWl-hVeITQGkqOAxC</v>
      </c>
      <c r="K5" s="44">
        <v>3500</v>
      </c>
      <c r="L5" s="45" t="s">
        <v>98</v>
      </c>
      <c r="M5" s="45" t="s">
        <v>101</v>
      </c>
      <c r="N5" s="37" t="s">
        <v>104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22.5" customHeight="1" x14ac:dyDescent="0.25">
      <c r="A6" s="29">
        <f ca="1">IFERROR(__xludf.DUMMYFUNCTION("""COMPUTED_VALUE"""),46248.5018198263)</f>
        <v>46248.501819826299</v>
      </c>
      <c r="B6" s="11" t="str">
        <f ca="1">IFERROR(__xludf.DUMMYFUNCTION("""COMPUTED_VALUE"""),"vu1f2526019@pvppcoe.ac.in")</f>
        <v>vu1f2526019@pvppcoe.ac.in</v>
      </c>
      <c r="C6" s="11" t="str">
        <f ca="1">IFERROR(__xludf.DUMMYFUNCTION("""COMPUTED_VALUE"""),"VU1F2526019")</f>
        <v>VU1F2526019</v>
      </c>
      <c r="D6" s="11" t="str">
        <f ca="1">IFERROR(__xludf.DUMMYFUNCTION("""COMPUTED_VALUE"""),"vu1f2526019@pvppcoe.ac.in")</f>
        <v>vu1f2526019@pvppcoe.ac.in</v>
      </c>
      <c r="E6" s="11" t="str">
        <f ca="1">IFERROR(__xludf.DUMMYFUNCTION("""COMPUTED_VALUE"""),"Ankita Padhy ")</f>
        <v xml:space="preserve">Ankita Padhy </v>
      </c>
      <c r="F6" s="11">
        <f ca="1">IFERROR(__xludf.DUMMYFUNCTION("""COMPUTED_VALUE"""),8456815910)</f>
        <v>8456815910</v>
      </c>
      <c r="G6" s="11" t="str">
        <f ca="1">IFERROR(__xludf.DUMMYFUNCTION("""COMPUTED_VALUE"""),"Second Year (Graduation Year of Passing:- 2029)")</f>
        <v>Second Year (Graduation Year of Passing:- 2029)</v>
      </c>
      <c r="H6" s="34" t="str">
        <f ca="1">IFERROR(__xludf.DUMMYFUNCTION("""COMPUTED_VALUE"""),"CS")</f>
        <v>CS</v>
      </c>
      <c r="I6" s="11" t="str">
        <f ca="1">IFERROR(__xludf.DUMMYFUNCTION("""COMPUTED_VALUE"""),"Complete C2C (Aptitude + Soft Skills + Technical) training - Rs 3500/-")</f>
        <v>Complete C2C (Aptitude + Soft Skills + Technical) training - Rs 3500/-</v>
      </c>
      <c r="J6" s="36" t="str">
        <f ca="1">IFERROR(__xludf.DUMMYFUNCTION("""COMPUTED_VALUE"""),"https://drive.google.com/open?id=1HRg3e0FrX6FRYJR6wcCVfehWZLjESg3g")</f>
        <v>https://drive.google.com/open?id=1HRg3e0FrX6FRYJR6wcCVfehWZLjESg3g</v>
      </c>
      <c r="K6" s="37">
        <v>3500</v>
      </c>
      <c r="L6" s="38" t="s">
        <v>98</v>
      </c>
      <c r="M6" s="38" t="s">
        <v>101</v>
      </c>
      <c r="N6" s="37" t="s">
        <v>104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22.5" customHeight="1" x14ac:dyDescent="0.25">
      <c r="A7" s="29">
        <f ca="1">IFERROR(__xludf.DUMMYFUNCTION("""COMPUTED_VALUE"""),46248.437467037)</f>
        <v>46248.437467037002</v>
      </c>
      <c r="B7" s="11" t="str">
        <f ca="1">IFERROR(__xludf.DUMMYFUNCTION("""COMPUTED_VALUE"""),"vu1f2526040@pvppcoe.ac.in")</f>
        <v>vu1f2526040@pvppcoe.ac.in</v>
      </c>
      <c r="C7" s="11" t="str">
        <f ca="1">IFERROR(__xludf.DUMMYFUNCTION("""COMPUTED_VALUE"""),"VU1F2526040")</f>
        <v>VU1F2526040</v>
      </c>
      <c r="D7" s="11" t="str">
        <f ca="1">IFERROR(__xludf.DUMMYFUNCTION("""COMPUTED_VALUE"""),"vu1f2526040@pvppcoe.ac.in")</f>
        <v>vu1f2526040@pvppcoe.ac.in</v>
      </c>
      <c r="E7" s="11" t="str">
        <f ca="1">IFERROR(__xludf.DUMMYFUNCTION("""COMPUTED_VALUE"""),"Pawar Arnav Jitendra")</f>
        <v>Pawar Arnav Jitendra</v>
      </c>
      <c r="F7" s="11">
        <f ca="1">IFERROR(__xludf.DUMMYFUNCTION("""COMPUTED_VALUE"""),9326094398)</f>
        <v>9326094398</v>
      </c>
      <c r="G7" s="11" t="str">
        <f ca="1">IFERROR(__xludf.DUMMYFUNCTION("""COMPUTED_VALUE"""),"Second Year (Graduation Year of Passing:- 2029)")</f>
        <v>Second Year (Graduation Year of Passing:- 2029)</v>
      </c>
      <c r="H7" s="34" t="str">
        <f ca="1">IFERROR(__xludf.DUMMYFUNCTION("""COMPUTED_VALUE"""),"CS")</f>
        <v>CS</v>
      </c>
      <c r="I7" s="11" t="str">
        <f ca="1">IFERROR(__xludf.DUMMYFUNCTION("""COMPUTED_VALUE"""),"Complete C2C (Aptitude + Soft Skills + Technical) training - Rs 3500/-")</f>
        <v>Complete C2C (Aptitude + Soft Skills + Technical) training - Rs 3500/-</v>
      </c>
      <c r="J7" s="36" t="str">
        <f ca="1">IFERROR(__xludf.DUMMYFUNCTION("""COMPUTED_VALUE"""),"https://drive.google.com/open?id=1nC8fLMNwpTLCWF28rJYUN75D15P6SxFI")</f>
        <v>https://drive.google.com/open?id=1nC8fLMNwpTLCWF28rJYUN75D15P6SxFI</v>
      </c>
      <c r="K7" s="44">
        <v>3500</v>
      </c>
      <c r="L7" s="45" t="s">
        <v>98</v>
      </c>
      <c r="M7" s="45" t="s">
        <v>101</v>
      </c>
      <c r="N7" s="37" t="s">
        <v>104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22.5" customHeight="1" x14ac:dyDescent="0.25">
      <c r="A8" s="29">
        <f ca="1">IFERROR(__xludf.DUMMYFUNCTION("""COMPUTED_VALUE"""),46248.4240199421)</f>
        <v>46248.424019942096</v>
      </c>
      <c r="B8" s="11" t="str">
        <f ca="1">IFERROR(__xludf.DUMMYFUNCTION("""COMPUTED_VALUE"""),"vu1f2526141@pvppcoe.ac.in")</f>
        <v>vu1f2526141@pvppcoe.ac.in</v>
      </c>
      <c r="C8" s="11" t="str">
        <f ca="1">IFERROR(__xludf.DUMMYFUNCTION("""COMPUTED_VALUE"""),"VU1F2526141")</f>
        <v>VU1F2526141</v>
      </c>
      <c r="D8" s="11" t="str">
        <f ca="1">IFERROR(__xludf.DUMMYFUNCTION("""COMPUTED_VALUE"""),"vu1f2526141@pvppcoe.ac.in")</f>
        <v>vu1f2526141@pvppcoe.ac.in</v>
      </c>
      <c r="E8" s="11" t="str">
        <f ca="1">IFERROR(__xludf.DUMMYFUNCTION("""COMPUTED_VALUE"""),"Ganesh sahu")</f>
        <v>Ganesh sahu</v>
      </c>
      <c r="F8" s="11">
        <f ca="1">IFERROR(__xludf.DUMMYFUNCTION("""COMPUTED_VALUE"""),7738488505)</f>
        <v>7738488505</v>
      </c>
      <c r="G8" s="11" t="str">
        <f ca="1">IFERROR(__xludf.DUMMYFUNCTION("""COMPUTED_VALUE"""),"Second Year (Graduation Year of Passing:- 2029)")</f>
        <v>Second Year (Graduation Year of Passing:- 2029)</v>
      </c>
      <c r="H8" s="34" t="str">
        <f ca="1">IFERROR(__xludf.DUMMYFUNCTION("""COMPUTED_VALUE"""),"CS")</f>
        <v>CS</v>
      </c>
      <c r="I8" s="11" t="str">
        <f ca="1">IFERROR(__xludf.DUMMYFUNCTION("""COMPUTED_VALUE"""),"Complete C2C (Aptitude + Soft Skills + Technical) training - Rs 3500/-")</f>
        <v>Complete C2C (Aptitude + Soft Skills + Technical) training - Rs 3500/-</v>
      </c>
      <c r="J8" s="36" t="str">
        <f ca="1">IFERROR(__xludf.DUMMYFUNCTION("""COMPUTED_VALUE"""),"https://drive.google.com/open?id=1PlCe09HLGv1fNJ6j5xSx1Ee5Oh-Vcsa5")</f>
        <v>https://drive.google.com/open?id=1PlCe09HLGv1fNJ6j5xSx1Ee5Oh-Vcsa5</v>
      </c>
      <c r="K8" s="37">
        <v>3500</v>
      </c>
      <c r="L8" s="38" t="s">
        <v>98</v>
      </c>
      <c r="M8" s="38" t="s">
        <v>101</v>
      </c>
      <c r="N8" s="37" t="s">
        <v>104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22.5" customHeight="1" x14ac:dyDescent="0.25">
      <c r="A9" s="29">
        <f ca="1">IFERROR(__xludf.DUMMYFUNCTION("""COMPUTED_VALUE"""),46248.4210570717)</f>
        <v>46248.421057071697</v>
      </c>
      <c r="B9" s="11" t="str">
        <f ca="1">IFERROR(__xludf.DUMMYFUNCTION("""COMPUTED_VALUE"""),"vu1f2526028@pvppcoe.ac.in")</f>
        <v>vu1f2526028@pvppcoe.ac.in</v>
      </c>
      <c r="C9" s="11" t="str">
        <f ca="1">IFERROR(__xludf.DUMMYFUNCTION("""COMPUTED_VALUE"""),"VU1F2526028 ")</f>
        <v xml:space="preserve">VU1F2526028 </v>
      </c>
      <c r="D9" s="11" t="str">
        <f ca="1">IFERROR(__xludf.DUMMYFUNCTION("""COMPUTED_VALUE"""),"vu1f2526028@pvppcoe.ac.in")</f>
        <v>vu1f2526028@pvppcoe.ac.in</v>
      </c>
      <c r="E9" s="11" t="str">
        <f ca="1">IFERROR(__xludf.DUMMYFUNCTION("""COMPUTED_VALUE"""),"SONAWANE ASHWINI VIKRAM ")</f>
        <v xml:space="preserve">SONAWANE ASHWINI VIKRAM </v>
      </c>
      <c r="F9" s="11">
        <f ca="1">IFERROR(__xludf.DUMMYFUNCTION("""COMPUTED_VALUE"""),8104697081)</f>
        <v>8104697081</v>
      </c>
      <c r="G9" s="11" t="str">
        <f ca="1">IFERROR(__xludf.DUMMYFUNCTION("""COMPUTED_VALUE"""),"Second Year (Graduation Year of Passing:- 2029)")</f>
        <v>Second Year (Graduation Year of Passing:- 2029)</v>
      </c>
      <c r="H9" s="34" t="str">
        <f ca="1">IFERROR(__xludf.DUMMYFUNCTION("""COMPUTED_VALUE"""),"CS")</f>
        <v>CS</v>
      </c>
      <c r="I9" s="11" t="str">
        <f ca="1">IFERROR(__xludf.DUMMYFUNCTION("""COMPUTED_VALUE"""),"Complete C2C (Aptitude + Soft Skills + Technical) training - Rs 3500/-")</f>
        <v>Complete C2C (Aptitude + Soft Skills + Technical) training - Rs 3500/-</v>
      </c>
      <c r="J9" s="36" t="str">
        <f ca="1">IFERROR(__xludf.DUMMYFUNCTION("""COMPUTED_VALUE"""),"https://drive.google.com/open?id=1IbKuXxSVeCeyYStGG9XyXm2V3CcF2909")</f>
        <v>https://drive.google.com/open?id=1IbKuXxSVeCeyYStGG9XyXm2V3CcF2909</v>
      </c>
      <c r="K9" s="44">
        <v>3500</v>
      </c>
      <c r="L9" s="45" t="s">
        <v>98</v>
      </c>
      <c r="M9" s="45" t="s">
        <v>101</v>
      </c>
      <c r="N9" s="37" t="s">
        <v>104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22.5" customHeight="1" x14ac:dyDescent="0.25">
      <c r="A10" s="29">
        <f ca="1">IFERROR(__xludf.DUMMYFUNCTION("""COMPUTED_VALUE"""),46248.4133036111)</f>
        <v>46248.413303611102</v>
      </c>
      <c r="B10" s="11" t="str">
        <f ca="1">IFERROR(__xludf.DUMMYFUNCTION("""COMPUTED_VALUE"""),"vu1f2526094@pvppcoe.ac.in")</f>
        <v>vu1f2526094@pvppcoe.ac.in</v>
      </c>
      <c r="C10" s="11" t="str">
        <f ca="1">IFERROR(__xludf.DUMMYFUNCTION("""COMPUTED_VALUE"""),"VU1F2526094")</f>
        <v>VU1F2526094</v>
      </c>
      <c r="D10" s="11" t="str">
        <f ca="1">IFERROR(__xludf.DUMMYFUNCTION("""COMPUTED_VALUE"""),"vu1f2526094@pvppcoe.ac.in")</f>
        <v>vu1f2526094@pvppcoe.ac.in</v>
      </c>
      <c r="E10" s="11" t="str">
        <f ca="1">IFERROR(__xludf.DUMMYFUNCTION("""COMPUTED_VALUE"""),"Kurade Shreyash Arun")</f>
        <v>Kurade Shreyash Arun</v>
      </c>
      <c r="F10" s="11">
        <f ca="1">IFERROR(__xludf.DUMMYFUNCTION("""COMPUTED_VALUE"""),8208097951)</f>
        <v>8208097951</v>
      </c>
      <c r="G10" s="11" t="str">
        <f ca="1">IFERROR(__xludf.DUMMYFUNCTION("""COMPUTED_VALUE"""),"Second Year (Graduation Year of Passing:- 2029)")</f>
        <v>Second Year (Graduation Year of Passing:- 2029)</v>
      </c>
      <c r="H10" s="34" t="str">
        <f ca="1">IFERROR(__xludf.DUMMYFUNCTION("""COMPUTED_VALUE"""),"CS")</f>
        <v>CS</v>
      </c>
      <c r="I10" s="11" t="str">
        <f ca="1">IFERROR(__xludf.DUMMYFUNCTION("""COMPUTED_VALUE"""),"Complete C2C (Aptitude + Soft Skills + Technical) training - Rs 3500/-")</f>
        <v>Complete C2C (Aptitude + Soft Skills + Technical) training - Rs 3500/-</v>
      </c>
      <c r="J10" s="36" t="str">
        <f ca="1">IFERROR(__xludf.DUMMYFUNCTION("""COMPUTED_VALUE"""),"https://drive.google.com/open?id=1Nl1tmnCwCpr3tISkM9u2eEPyjT6yrh_f")</f>
        <v>https://drive.google.com/open?id=1Nl1tmnCwCpr3tISkM9u2eEPyjT6yrh_f</v>
      </c>
      <c r="K10" s="37">
        <v>3500</v>
      </c>
      <c r="L10" s="38" t="s">
        <v>98</v>
      </c>
      <c r="M10" s="38" t="s">
        <v>101</v>
      </c>
      <c r="N10" s="37" t="s">
        <v>104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22.5" customHeight="1" x14ac:dyDescent="0.25">
      <c r="A11" s="29">
        <f ca="1">IFERROR(__xludf.DUMMYFUNCTION("""COMPUTED_VALUE"""),46248.4035963773)</f>
        <v>46248.403596377299</v>
      </c>
      <c r="B11" s="11" t="str">
        <f ca="1">IFERROR(__xludf.DUMMYFUNCTION("""COMPUTED_VALUE"""),"vu1f2526011@pvppcoe.ac.in")</f>
        <v>vu1f2526011@pvppcoe.ac.in</v>
      </c>
      <c r="C11" s="11" t="str">
        <f ca="1">IFERROR(__xludf.DUMMYFUNCTION("""COMPUTED_VALUE"""),"VU1F2526011")</f>
        <v>VU1F2526011</v>
      </c>
      <c r="D11" s="11" t="str">
        <f ca="1">IFERROR(__xludf.DUMMYFUNCTION("""COMPUTED_VALUE"""),"vu1f2526011@pvppcoe.ac.in")</f>
        <v>vu1f2526011@pvppcoe.ac.in</v>
      </c>
      <c r="E11" s="11" t="str">
        <f ca="1">IFERROR(__xludf.DUMMYFUNCTION("""COMPUTED_VALUE"""),"BHALERAO RONIK SANDEEP")</f>
        <v>BHALERAO RONIK SANDEEP</v>
      </c>
      <c r="F11" s="11">
        <f ca="1">IFERROR(__xludf.DUMMYFUNCTION("""COMPUTED_VALUE"""),9552816324)</f>
        <v>9552816324</v>
      </c>
      <c r="G11" s="11" t="str">
        <f ca="1">IFERROR(__xludf.DUMMYFUNCTION("""COMPUTED_VALUE"""),"Second Year (Graduation Year of Passing:- 2029)")</f>
        <v>Second Year (Graduation Year of Passing:- 2029)</v>
      </c>
      <c r="H11" s="34" t="str">
        <f ca="1">IFERROR(__xludf.DUMMYFUNCTION("""COMPUTED_VALUE"""),"CS")</f>
        <v>CS</v>
      </c>
      <c r="I11" s="11" t="str">
        <f ca="1">IFERROR(__xludf.DUMMYFUNCTION("""COMPUTED_VALUE"""),"Complete C2C (Aptitude + Soft Skills + Technical) training - Rs 3500/-")</f>
        <v>Complete C2C (Aptitude + Soft Skills + Technical) training - Rs 3500/-</v>
      </c>
      <c r="J11" s="36" t="str">
        <f ca="1">IFERROR(__xludf.DUMMYFUNCTION("""COMPUTED_VALUE"""),"https://drive.google.com/open?id=1U922O7rrrk8lE44J8PU1eTbFnCBQ_WSu")</f>
        <v>https://drive.google.com/open?id=1U922O7rrrk8lE44J8PU1eTbFnCBQ_WSu</v>
      </c>
      <c r="K11" s="44">
        <v>3500</v>
      </c>
      <c r="L11" s="45" t="s">
        <v>98</v>
      </c>
      <c r="M11" s="45" t="s">
        <v>101</v>
      </c>
      <c r="N11" s="37" t="s">
        <v>104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22.5" customHeight="1" x14ac:dyDescent="0.25">
      <c r="A12" s="29">
        <f ca="1">IFERROR(__xludf.DUMMYFUNCTION("""COMPUTED_VALUE"""),46248.3956891666)</f>
        <v>46248.395689166602</v>
      </c>
      <c r="B12" s="11" t="str">
        <f ca="1">IFERROR(__xludf.DUMMYFUNCTION("""COMPUTED_VALUE"""),"vu7f2526003@pvppcoe.ac.in")</f>
        <v>vu7f2526003@pvppcoe.ac.in</v>
      </c>
      <c r="C12" s="11" t="str">
        <f ca="1">IFERROR(__xludf.DUMMYFUNCTION("""COMPUTED_VALUE"""),"VU7F2526003 ")</f>
        <v xml:space="preserve">VU7F2526003 </v>
      </c>
      <c r="D12" s="11" t="str">
        <f ca="1">IFERROR(__xludf.DUMMYFUNCTION("""COMPUTED_VALUE"""),"vu7f2526003@pvppcoe.ac.in")</f>
        <v>vu7f2526003@pvppcoe.ac.in</v>
      </c>
      <c r="E12" s="11" t="str">
        <f ca="1">IFERROR(__xludf.DUMMYFUNCTION("""COMPUTED_VALUE"""),"Gupta Rudra Rajesh")</f>
        <v>Gupta Rudra Rajesh</v>
      </c>
      <c r="F12" s="11">
        <f ca="1">IFERROR(__xludf.DUMMYFUNCTION("""COMPUTED_VALUE"""),8779301875)</f>
        <v>8779301875</v>
      </c>
      <c r="G12" s="11" t="str">
        <f ca="1">IFERROR(__xludf.DUMMYFUNCTION("""COMPUTED_VALUE"""),"Second Year (Graduation Year of Passing:- 2029)")</f>
        <v>Second Year (Graduation Year of Passing:- 2029)</v>
      </c>
      <c r="H12" s="34" t="str">
        <f ca="1">IFERROR(__xludf.DUMMYFUNCTION("""COMPUTED_VALUE"""),"Mechatronics")</f>
        <v>Mechatronics</v>
      </c>
      <c r="I12" s="11" t="str">
        <f ca="1">IFERROR(__xludf.DUMMYFUNCTION("""COMPUTED_VALUE"""),"Complete C2C (Aptitude + Soft Skills + Technical) training - Rs 3500/-")</f>
        <v>Complete C2C (Aptitude + Soft Skills + Technical) training - Rs 3500/-</v>
      </c>
      <c r="J12" s="36" t="str">
        <f ca="1">IFERROR(__xludf.DUMMYFUNCTION("""COMPUTED_VALUE"""),"https://drive.google.com/open?id=1sJZdjStFyr0MevmUYhf3RgNl6DUKppPV")</f>
        <v>https://drive.google.com/open?id=1sJZdjStFyr0MevmUYhf3RgNl6DUKppPV</v>
      </c>
      <c r="K12" s="37">
        <v>3500</v>
      </c>
      <c r="L12" s="38" t="s">
        <v>98</v>
      </c>
      <c r="M12" s="38" t="s">
        <v>101</v>
      </c>
      <c r="N12" s="37" t="s">
        <v>104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22.5" customHeight="1" x14ac:dyDescent="0.25">
      <c r="A13" s="29">
        <f ca="1">IFERROR(__xludf.DUMMYFUNCTION("""COMPUTED_VALUE"""),46248.3939464351)</f>
        <v>46248.393946435099</v>
      </c>
      <c r="B13" s="11" t="str">
        <f ca="1">IFERROR(__xludf.DUMMYFUNCTION("""COMPUTED_VALUE"""),"vu1f2526129@pvppcoe.ac.in")</f>
        <v>vu1f2526129@pvppcoe.ac.in</v>
      </c>
      <c r="C13" s="11" t="str">
        <f ca="1">IFERROR(__xludf.DUMMYFUNCTION("""COMPUTED_VALUE"""),"VU1F2526129")</f>
        <v>VU1F2526129</v>
      </c>
      <c r="D13" s="11" t="str">
        <f ca="1">IFERROR(__xludf.DUMMYFUNCTION("""COMPUTED_VALUE"""),"vu1f2526129@pvppcoe.ac.in")</f>
        <v>vu1f2526129@pvppcoe.ac.in</v>
      </c>
      <c r="E13" s="11" t="str">
        <f ca="1">IFERROR(__xludf.DUMMYFUNCTION("""COMPUTED_VALUE"""),"GAWDE OM PRASHANT ")</f>
        <v xml:space="preserve">GAWDE OM PRASHANT </v>
      </c>
      <c r="F13" s="11">
        <f ca="1">IFERROR(__xludf.DUMMYFUNCTION("""COMPUTED_VALUE"""),8108755999)</f>
        <v>8108755999</v>
      </c>
      <c r="G13" s="11" t="str">
        <f ca="1">IFERROR(__xludf.DUMMYFUNCTION("""COMPUTED_VALUE"""),"Second Year (Graduation Year of Passing:- 2029)")</f>
        <v>Second Year (Graduation Year of Passing:- 2029)</v>
      </c>
      <c r="H13" s="34" t="str">
        <f ca="1">IFERROR(__xludf.DUMMYFUNCTION("""COMPUTED_VALUE"""),"CS")</f>
        <v>CS</v>
      </c>
      <c r="I13" s="11" t="str">
        <f ca="1">IFERROR(__xludf.DUMMYFUNCTION("""COMPUTED_VALUE"""),"Complete C2C (Aptitude + Soft Skills + Technical) training - Rs 3500/-")</f>
        <v>Complete C2C (Aptitude + Soft Skills + Technical) training - Rs 3500/-</v>
      </c>
      <c r="J13" s="36" t="str">
        <f ca="1">IFERROR(__xludf.DUMMYFUNCTION("""COMPUTED_VALUE"""),"https://drive.google.com/open?id=1BGLscvtpWVGC9Q_j_Dg9kRaFflSAG0Pz")</f>
        <v>https://drive.google.com/open?id=1BGLscvtpWVGC9Q_j_Dg9kRaFflSAG0Pz</v>
      </c>
      <c r="K13" s="37">
        <v>3500</v>
      </c>
      <c r="L13" s="38" t="s">
        <v>98</v>
      </c>
      <c r="M13" s="38" t="s">
        <v>101</v>
      </c>
      <c r="N13" s="37" t="s">
        <v>104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22.5" customHeight="1" x14ac:dyDescent="0.25">
      <c r="A14" s="29">
        <f ca="1">IFERROR(__xludf.DUMMYFUNCTION("""COMPUTED_VALUE"""),46247.9844501851)</f>
        <v>46247.984450185097</v>
      </c>
      <c r="B14" s="11" t="str">
        <f ca="1">IFERROR(__xludf.DUMMYFUNCTION("""COMPUTED_VALUE"""),"vu1f2526086@pvppcoe.ac.in")</f>
        <v>vu1f2526086@pvppcoe.ac.in</v>
      </c>
      <c r="C14" s="11" t="str">
        <f ca="1">IFERROR(__xludf.DUMMYFUNCTION("""COMPUTED_VALUE"""),"VU1F2526086")</f>
        <v>VU1F2526086</v>
      </c>
      <c r="D14" s="11" t="str">
        <f ca="1">IFERROR(__xludf.DUMMYFUNCTION("""COMPUTED_VALUE"""),"vu1f2526086@pvppcoe.ac.in")</f>
        <v>vu1f2526086@pvppcoe.ac.in</v>
      </c>
      <c r="E14" s="11" t="str">
        <f ca="1">IFERROR(__xludf.DUMMYFUNCTION("""COMPUTED_VALUE"""),"Ponna Vignesh Santosh")</f>
        <v>Ponna Vignesh Santosh</v>
      </c>
      <c r="F14" s="11">
        <f ca="1">IFERROR(__xludf.DUMMYFUNCTION("""COMPUTED_VALUE"""),9152166507)</f>
        <v>9152166507</v>
      </c>
      <c r="G14" s="11" t="str">
        <f ca="1">IFERROR(__xludf.DUMMYFUNCTION("""COMPUTED_VALUE"""),"Second Year (Graduation Year of Passing:- 2029)")</f>
        <v>Second Year (Graduation Year of Passing:- 2029)</v>
      </c>
      <c r="H14" s="34" t="str">
        <f ca="1">IFERROR(__xludf.DUMMYFUNCTION("""COMPUTED_VALUE"""),"CS")</f>
        <v>CS</v>
      </c>
      <c r="I14" s="11" t="str">
        <f ca="1">IFERROR(__xludf.DUMMYFUNCTION("""COMPUTED_VALUE"""),"Complete C2C (Aptitude + Soft Skills + Technical) training - Rs 3500/-")</f>
        <v>Complete C2C (Aptitude + Soft Skills + Technical) training - Rs 3500/-</v>
      </c>
      <c r="J14" s="36" t="str">
        <f ca="1">IFERROR(__xludf.DUMMYFUNCTION("""COMPUTED_VALUE"""),"https://drive.google.com/open?id=1UhpB2wVSHDdsltoyZFDECIki4EyNLu4f")</f>
        <v>https://drive.google.com/open?id=1UhpB2wVSHDdsltoyZFDECIki4EyNLu4f</v>
      </c>
      <c r="K14" s="37">
        <v>3500</v>
      </c>
      <c r="L14" s="38" t="s">
        <v>98</v>
      </c>
      <c r="M14" s="38" t="s">
        <v>101</v>
      </c>
      <c r="N14" s="37" t="s">
        <v>104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22.5" customHeight="1" x14ac:dyDescent="0.25">
      <c r="A15" s="29">
        <f ca="1">IFERROR(__xludf.DUMMYFUNCTION("""COMPUTED_VALUE"""),46247.9804124421)</f>
        <v>46247.980412442099</v>
      </c>
      <c r="B15" s="11" t="str">
        <f ca="1">IFERROR(__xludf.DUMMYFUNCTION("""COMPUTED_VALUE"""),"vu3f2526049@pvppcoe.ac.in")</f>
        <v>vu3f2526049@pvppcoe.ac.in</v>
      </c>
      <c r="C15" s="11" t="str">
        <f ca="1">IFERROR(__xludf.DUMMYFUNCTION("""COMPUTED_VALUE"""),"VU3F2526049 ")</f>
        <v xml:space="preserve">VU3F2526049 </v>
      </c>
      <c r="D15" s="11" t="str">
        <f ca="1">IFERROR(__xludf.DUMMYFUNCTION("""COMPUTED_VALUE"""),"vu3f2526049@pvppcoe.ac.in")</f>
        <v>vu3f2526049@pvppcoe.ac.in</v>
      </c>
      <c r="E15" s="11" t="str">
        <f ca="1">IFERROR(__xludf.DUMMYFUNCTION("""COMPUTED_VALUE"""),"Patil Sameeksha Shailesh ")</f>
        <v xml:space="preserve">Patil Sameeksha Shailesh </v>
      </c>
      <c r="F15" s="11">
        <f ca="1">IFERROR(__xludf.DUMMYFUNCTION("""COMPUTED_VALUE"""),9172992100)</f>
        <v>9172992100</v>
      </c>
      <c r="G15" s="11" t="str">
        <f ca="1">IFERROR(__xludf.DUMMYFUNCTION("""COMPUTED_VALUE"""),"Second Year (Graduation Year of Passing:- 2029)")</f>
        <v>Second Year (Graduation Year of Passing:- 2029)</v>
      </c>
      <c r="H15" s="34" t="str">
        <f ca="1">IFERROR(__xludf.DUMMYFUNCTION("""COMPUTED_VALUE"""),"ECS")</f>
        <v>ECS</v>
      </c>
      <c r="I15" s="11" t="str">
        <f ca="1">IFERROR(__xludf.DUMMYFUNCTION("""COMPUTED_VALUE"""),"Complete C2C (Aptitude + Soft Skills + Technical) training - Rs 3500/-")</f>
        <v>Complete C2C (Aptitude + Soft Skills + Technical) training - Rs 3500/-</v>
      </c>
      <c r="J15" s="35" t="str">
        <f ca="1">IFERROR(__xludf.DUMMYFUNCTION("""COMPUTED_VALUE"""),"https://drive.google.com/open?id=1rU7cHcDlCR0DVUtLnYwoLwLd_eW__Snx")</f>
        <v>https://drive.google.com/open?id=1rU7cHcDlCR0DVUtLnYwoLwLd_eW__Snx</v>
      </c>
      <c r="K15" s="44">
        <v>3500</v>
      </c>
      <c r="L15" s="45" t="s">
        <v>429</v>
      </c>
      <c r="M15" s="45" t="s">
        <v>101</v>
      </c>
      <c r="N15" s="37" t="s">
        <v>104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22.5" customHeight="1" x14ac:dyDescent="0.25">
      <c r="A16" s="29">
        <f ca="1">IFERROR(__xludf.DUMMYFUNCTION("""COMPUTED_VALUE"""),46247.9705368518)</f>
        <v>46247.970536851797</v>
      </c>
      <c r="B16" s="11" t="str">
        <f ca="1">IFERROR(__xludf.DUMMYFUNCTION("""COMPUTED_VALUE"""),"vu1f2526035@pvppcoe.ac.in")</f>
        <v>vu1f2526035@pvppcoe.ac.in</v>
      </c>
      <c r="C16" s="11" t="str">
        <f ca="1">IFERROR(__xludf.DUMMYFUNCTION("""COMPUTED_VALUE"""),"VU1F2526035")</f>
        <v>VU1F2526035</v>
      </c>
      <c r="D16" s="11" t="str">
        <f ca="1">IFERROR(__xludf.DUMMYFUNCTION("""COMPUTED_VALUE"""),"vu1f2526035@pvppcoe.ac.in")</f>
        <v>vu1f2526035@pvppcoe.ac.in</v>
      </c>
      <c r="E16" s="11" t="str">
        <f ca="1">IFERROR(__xludf.DUMMYFUNCTION("""COMPUTED_VALUE"""),"Shaikh Mohd Basit")</f>
        <v>Shaikh Mohd Basit</v>
      </c>
      <c r="F16" s="11">
        <f ca="1">IFERROR(__xludf.DUMMYFUNCTION("""COMPUTED_VALUE"""),9819155764)</f>
        <v>9819155764</v>
      </c>
      <c r="G16" s="11" t="str">
        <f ca="1">IFERROR(__xludf.DUMMYFUNCTION("""COMPUTED_VALUE"""),"Second Year (Graduation Year of Passing:- 2029)")</f>
        <v>Second Year (Graduation Year of Passing:- 2029)</v>
      </c>
      <c r="H16" s="34" t="str">
        <f ca="1">IFERROR(__xludf.DUMMYFUNCTION("""COMPUTED_VALUE"""),"CS")</f>
        <v>CS</v>
      </c>
      <c r="I16" s="11" t="str">
        <f ca="1">IFERROR(__xludf.DUMMYFUNCTION("""COMPUTED_VALUE"""),"Complete C2C (Aptitude + Soft Skills + Technical) training - Rs 3500/-")</f>
        <v>Complete C2C (Aptitude + Soft Skills + Technical) training - Rs 3500/-</v>
      </c>
      <c r="J16" s="35" t="str">
        <f ca="1">IFERROR(__xludf.DUMMYFUNCTION("""COMPUTED_VALUE"""),"https://drive.google.com/open?id=1b5ljHMzjMwS3nZ5TgNfvXnKVaP6dLEyk")</f>
        <v>https://drive.google.com/open?id=1b5ljHMzjMwS3nZ5TgNfvXnKVaP6dLEyk</v>
      </c>
      <c r="K16" s="37">
        <v>3500</v>
      </c>
      <c r="L16" s="57" t="s">
        <v>98</v>
      </c>
      <c r="M16" s="57" t="s">
        <v>101</v>
      </c>
      <c r="N16" s="37" t="s">
        <v>104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22.5" customHeight="1" x14ac:dyDescent="0.25">
      <c r="A17" s="29">
        <f ca="1">IFERROR(__xludf.DUMMYFUNCTION("""COMPUTED_VALUE"""),46247.9494338078)</f>
        <v>46247.9494338078</v>
      </c>
      <c r="B17" s="11" t="str">
        <f ca="1">IFERROR(__xludf.DUMMYFUNCTION("""COMPUTED_VALUE"""),"vu1f2526023@pvppcoe.ac.in")</f>
        <v>vu1f2526023@pvppcoe.ac.in</v>
      </c>
      <c r="C17" s="11" t="str">
        <f ca="1">IFERROR(__xludf.DUMMYFUNCTION("""COMPUTED_VALUE"""),"VU1F2526023 ")</f>
        <v xml:space="preserve">VU1F2526023 </v>
      </c>
      <c r="D17" s="11" t="str">
        <f ca="1">IFERROR(__xludf.DUMMYFUNCTION("""COMPUTED_VALUE"""),"Vu1f2526023@pvppcoe.ac.in")</f>
        <v>Vu1f2526023@pvppcoe.ac.in</v>
      </c>
      <c r="E17" s="11" t="str">
        <f ca="1">IFERROR(__xludf.DUMMYFUNCTION("""COMPUTED_VALUE"""),"SIDDIQUI FAUZAN MUJEEBUR REHMAN ")</f>
        <v xml:space="preserve">SIDDIQUI FAUZAN MUJEEBUR REHMAN </v>
      </c>
      <c r="F17" s="11">
        <f ca="1">IFERROR(__xludf.DUMMYFUNCTION("""COMPUTED_VALUE"""),9324987974)</f>
        <v>9324987974</v>
      </c>
      <c r="G17" s="11" t="str">
        <f ca="1">IFERROR(__xludf.DUMMYFUNCTION("""COMPUTED_VALUE"""),"Second Year (Graduation Year of Passing:- 2029)")</f>
        <v>Second Year (Graduation Year of Passing:- 2029)</v>
      </c>
      <c r="H17" s="34" t="str">
        <f ca="1">IFERROR(__xludf.DUMMYFUNCTION("""COMPUTED_VALUE"""),"CS")</f>
        <v>CS</v>
      </c>
      <c r="I17" s="11" t="str">
        <f ca="1">IFERROR(__xludf.DUMMYFUNCTION("""COMPUTED_VALUE"""),"Complete C2C (Aptitude + Soft Skills + Technical) training - Rs 3500/-")</f>
        <v>Complete C2C (Aptitude + Soft Skills + Technical) training - Rs 3500/-</v>
      </c>
      <c r="J17" s="35" t="str">
        <f ca="1">IFERROR(__xludf.DUMMYFUNCTION("""COMPUTED_VALUE"""),"https://drive.google.com/open?id=1uLaQKtvROQ7x3fkmx7x5ruJjMZSZoOzl")</f>
        <v>https://drive.google.com/open?id=1uLaQKtvROQ7x3fkmx7x5ruJjMZSZoOzl</v>
      </c>
      <c r="K17" s="44">
        <v>3500</v>
      </c>
      <c r="L17" s="58" t="s">
        <v>98</v>
      </c>
      <c r="M17" s="58" t="s">
        <v>101</v>
      </c>
      <c r="N17" s="37" t="s">
        <v>104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22.5" customHeight="1" x14ac:dyDescent="0.25">
      <c r="A18" s="29">
        <f ca="1">IFERROR(__xludf.DUMMYFUNCTION("""COMPUTED_VALUE"""),46247.9352703819)</f>
        <v>46247.935270381902</v>
      </c>
      <c r="B18" s="11" t="str">
        <f ca="1">IFERROR(__xludf.DUMMYFUNCTION("""COMPUTED_VALUE"""),"vu1f2526106@pvppcoe.ac.in")</f>
        <v>vu1f2526106@pvppcoe.ac.in</v>
      </c>
      <c r="C18" s="11" t="str">
        <f ca="1">IFERROR(__xludf.DUMMYFUNCTION("""COMPUTED_VALUE"""),"VU1F2526106")</f>
        <v>VU1F2526106</v>
      </c>
      <c r="D18" s="11" t="str">
        <f ca="1">IFERROR(__xludf.DUMMYFUNCTION("""COMPUTED_VALUE"""),"vu1f2526106@pvppcoe.ac.in")</f>
        <v>vu1f2526106@pvppcoe.ac.in</v>
      </c>
      <c r="E18" s="11" t="str">
        <f ca="1">IFERROR(__xludf.DUMMYFUNCTION("""COMPUTED_VALUE"""),"KOR PARTH DATTATRAY")</f>
        <v>KOR PARTH DATTATRAY</v>
      </c>
      <c r="F18" s="11">
        <f ca="1">IFERROR(__xludf.DUMMYFUNCTION("""COMPUTED_VALUE"""),9307484139)</f>
        <v>9307484139</v>
      </c>
      <c r="G18" s="11" t="str">
        <f ca="1">IFERROR(__xludf.DUMMYFUNCTION("""COMPUTED_VALUE"""),"Second Year (Graduation Year of Passing:- 2029)")</f>
        <v>Second Year (Graduation Year of Passing:- 2029)</v>
      </c>
      <c r="H18" s="34" t="str">
        <f ca="1">IFERROR(__xludf.DUMMYFUNCTION("""COMPUTED_VALUE"""),"CS")</f>
        <v>CS</v>
      </c>
      <c r="I18" s="11" t="str">
        <f ca="1">IFERROR(__xludf.DUMMYFUNCTION("""COMPUTED_VALUE"""),"Complete C2C (Aptitude + Soft Skills + Technical) training - Rs 3500/-")</f>
        <v>Complete C2C (Aptitude + Soft Skills + Technical) training - Rs 3500/-</v>
      </c>
      <c r="J18" s="35" t="str">
        <f ca="1">IFERROR(__xludf.DUMMYFUNCTION("""COMPUTED_VALUE"""),"https://drive.google.com/open?id=1qq8OhzbCvCcsfG4au9_iYcSy_UQBfeXa")</f>
        <v>https://drive.google.com/open?id=1qq8OhzbCvCcsfG4au9_iYcSy_UQBfeXa</v>
      </c>
      <c r="K18" s="37">
        <v>3500</v>
      </c>
      <c r="L18" s="57" t="s">
        <v>98</v>
      </c>
      <c r="M18" s="57" t="s">
        <v>101</v>
      </c>
      <c r="N18" s="37" t="s">
        <v>104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22.5" customHeight="1" x14ac:dyDescent="0.25">
      <c r="A19" s="29">
        <f ca="1">IFERROR(__xludf.DUMMYFUNCTION("""COMPUTED_VALUE"""),46247.9258733449)</f>
        <v>46247.925873344902</v>
      </c>
      <c r="B19" s="11" t="str">
        <f ca="1">IFERROR(__xludf.DUMMYFUNCTION("""COMPUTED_VALUE"""),"vu2f2526011@pvppcoe.ac.in")</f>
        <v>vu2f2526011@pvppcoe.ac.in</v>
      </c>
      <c r="C19" s="11" t="str">
        <f ca="1">IFERROR(__xludf.DUMMYFUNCTION("""COMPUTED_VALUE"""),"VU2F2526011 ")</f>
        <v xml:space="preserve">VU2F2526011 </v>
      </c>
      <c r="D19" s="11" t="str">
        <f ca="1">IFERROR(__xludf.DUMMYFUNCTION("""COMPUTED_VALUE"""),"vu2f2526011@pvppcoe.ac.in")</f>
        <v>vu2f2526011@pvppcoe.ac.in</v>
      </c>
      <c r="E19" s="11" t="str">
        <f ca="1">IFERROR(__xludf.DUMMYFUNCTION("""COMPUTED_VALUE"""),"Ulde Tauheed Amjad")</f>
        <v>Ulde Tauheed Amjad</v>
      </c>
      <c r="F19" s="11">
        <f ca="1">IFERROR(__xludf.DUMMYFUNCTION("""COMPUTED_VALUE"""),7400148389)</f>
        <v>7400148389</v>
      </c>
      <c r="G19" s="11" t="str">
        <f ca="1">IFERROR(__xludf.DUMMYFUNCTION("""COMPUTED_VALUE"""),"Second Year (Graduation Year of Passing:- 2029)")</f>
        <v>Second Year (Graduation Year of Passing:- 2029)</v>
      </c>
      <c r="H19" s="34" t="str">
        <f ca="1">IFERROR(__xludf.DUMMYFUNCTION("""COMPUTED_VALUE"""),"AI &amp; ML")</f>
        <v>AI &amp; ML</v>
      </c>
      <c r="I19" s="11" t="str">
        <f ca="1">IFERROR(__xludf.DUMMYFUNCTION("""COMPUTED_VALUE"""),"Complete C2C (Aptitude + Soft Skills + Technical) training - Rs 3500/-")</f>
        <v>Complete C2C (Aptitude + Soft Skills + Technical) training - Rs 3500/-</v>
      </c>
      <c r="J19" s="35" t="str">
        <f ca="1">IFERROR(__xludf.DUMMYFUNCTION("""COMPUTED_VALUE"""),"https://drive.google.com/open?id=1ntNdkF2fovJ_jHEnmbgurSEuqAvMh3Pm")</f>
        <v>https://drive.google.com/open?id=1ntNdkF2fovJ_jHEnmbgurSEuqAvMh3Pm</v>
      </c>
      <c r="K19" s="44">
        <v>3500</v>
      </c>
      <c r="L19" s="45" t="s">
        <v>98</v>
      </c>
      <c r="M19" s="45" t="s">
        <v>101</v>
      </c>
      <c r="N19" s="37" t="s">
        <v>104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22.5" customHeight="1" x14ac:dyDescent="0.25">
      <c r="A20" s="29">
        <f ca="1">IFERROR(__xludf.DUMMYFUNCTION("""COMPUTED_VALUE"""),46247.9253491666)</f>
        <v>46247.925349166602</v>
      </c>
      <c r="B20" s="11" t="str">
        <f ca="1">IFERROR(__xludf.DUMMYFUNCTION("""COMPUTED_VALUE"""),"vu3f2526113@pvppcoe.ac.in")</f>
        <v>vu3f2526113@pvppcoe.ac.in</v>
      </c>
      <c r="C20" s="11" t="str">
        <f ca="1">IFERROR(__xludf.DUMMYFUNCTION("""COMPUTED_VALUE"""),"VU3F2526113")</f>
        <v>VU3F2526113</v>
      </c>
      <c r="D20" s="11" t="str">
        <f ca="1">IFERROR(__xludf.DUMMYFUNCTION("""COMPUTED_VALUE"""),"vu3f2526113@pvppcoe.ac.in")</f>
        <v>vu3f2526113@pvppcoe.ac.in</v>
      </c>
      <c r="E20" s="11" t="str">
        <f ca="1">IFERROR(__xludf.DUMMYFUNCTION("""COMPUTED_VALUE"""),"KARVE HRUSHIKESH PRASAD")</f>
        <v>KARVE HRUSHIKESH PRASAD</v>
      </c>
      <c r="F20" s="11">
        <f ca="1">IFERROR(__xludf.DUMMYFUNCTION("""COMPUTED_VALUE"""),7304725048)</f>
        <v>7304725048</v>
      </c>
      <c r="G20" s="11" t="str">
        <f ca="1">IFERROR(__xludf.DUMMYFUNCTION("""COMPUTED_VALUE"""),"Second Year (Graduation Year of Passing:- 2029)")</f>
        <v>Second Year (Graduation Year of Passing:- 2029)</v>
      </c>
      <c r="H20" s="34" t="str">
        <f ca="1">IFERROR(__xludf.DUMMYFUNCTION("""COMPUTED_VALUE"""),"ECS")</f>
        <v>ECS</v>
      </c>
      <c r="I20" s="11" t="str">
        <f ca="1">IFERROR(__xludf.DUMMYFUNCTION("""COMPUTED_VALUE"""),"Complete C2C (Aptitude + Soft Skills + Technical) training - Rs 3500/-")</f>
        <v>Complete C2C (Aptitude + Soft Skills + Technical) training - Rs 3500/-</v>
      </c>
      <c r="J20" s="35" t="str">
        <f ca="1">IFERROR(__xludf.DUMMYFUNCTION("""COMPUTED_VALUE"""),"https://drive.google.com/open?id=1BN9BqwC2Fx2yUAd8hyR5glTrb7AKq9OT")</f>
        <v>https://drive.google.com/open?id=1BN9BqwC2Fx2yUAd8hyR5glTrb7AKq9OT</v>
      </c>
      <c r="K20" s="37">
        <v>3500</v>
      </c>
      <c r="L20" s="57" t="s">
        <v>98</v>
      </c>
      <c r="M20" s="57" t="s">
        <v>101</v>
      </c>
      <c r="N20" s="37" t="s">
        <v>104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22.5" customHeight="1" x14ac:dyDescent="0.25">
      <c r="A21" s="29">
        <f ca="1">IFERROR(__xludf.DUMMYFUNCTION("""COMPUTED_VALUE"""),46247.9161836574)</f>
        <v>46247.916183657399</v>
      </c>
      <c r="B21" s="11" t="str">
        <f ca="1">IFERROR(__xludf.DUMMYFUNCTION("""COMPUTED_VALUE"""),"vu3f2526080@pvppcoe.ac.in")</f>
        <v>vu3f2526080@pvppcoe.ac.in</v>
      </c>
      <c r="C21" s="11" t="str">
        <f ca="1">IFERROR(__xludf.DUMMYFUNCTION("""COMPUTED_VALUE"""),"VU3F2526080 ")</f>
        <v xml:space="preserve">VU3F2526080 </v>
      </c>
      <c r="D21" s="11" t="str">
        <f ca="1">IFERROR(__xludf.DUMMYFUNCTION("""COMPUTED_VALUE"""),"vu3f2526100@pvppcoe.ac.in")</f>
        <v>vu3f2526100@pvppcoe.ac.in</v>
      </c>
      <c r="E21" s="11" t="str">
        <f ca="1">IFERROR(__xludf.DUMMYFUNCTION("""COMPUTED_VALUE"""),"Mhatre Tanmay Santosh ")</f>
        <v xml:space="preserve">Mhatre Tanmay Santosh </v>
      </c>
      <c r="F21" s="11">
        <f ca="1">IFERROR(__xludf.DUMMYFUNCTION("""COMPUTED_VALUE"""),9021869940)</f>
        <v>9021869940</v>
      </c>
      <c r="G21" s="11" t="str">
        <f ca="1">IFERROR(__xludf.DUMMYFUNCTION("""COMPUTED_VALUE"""),"Second Year (Graduation Year of Passing:- 2029)")</f>
        <v>Second Year (Graduation Year of Passing:- 2029)</v>
      </c>
      <c r="H21" s="34" t="str">
        <f ca="1">IFERROR(__xludf.DUMMYFUNCTION("""COMPUTED_VALUE"""),"ECS")</f>
        <v>ECS</v>
      </c>
      <c r="I21" s="11" t="str">
        <f ca="1">IFERROR(__xludf.DUMMYFUNCTION("""COMPUTED_VALUE"""),"Complete C2C (Aptitude + Soft Skills + Technical) training - Rs 3500/-")</f>
        <v>Complete C2C (Aptitude + Soft Skills + Technical) training - Rs 3500/-</v>
      </c>
      <c r="J21" s="35" t="str">
        <f ca="1">IFERROR(__xludf.DUMMYFUNCTION("""COMPUTED_VALUE"""),"https://drive.google.com/open?id=1iVYejZygWqL5K3_EVDrSO9d-X97FJoD5")</f>
        <v>https://drive.google.com/open?id=1iVYejZygWqL5K3_EVDrSO9d-X97FJoD5</v>
      </c>
      <c r="K21" s="44">
        <v>3500</v>
      </c>
      <c r="L21" s="58" t="s">
        <v>98</v>
      </c>
      <c r="M21" s="58" t="s">
        <v>101</v>
      </c>
      <c r="N21" s="37" t="s">
        <v>104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22.5" customHeight="1" x14ac:dyDescent="0.25">
      <c r="A22" s="29">
        <f ca="1">IFERROR(__xludf.DUMMYFUNCTION("""COMPUTED_VALUE"""),46247.9057298032)</f>
        <v>46247.905729803198</v>
      </c>
      <c r="B22" s="11" t="str">
        <f ca="1">IFERROR(__xludf.DUMMYFUNCTION("""COMPUTED_VALUE"""),"vu1f2526066@pvppcoe.ac.in")</f>
        <v>vu1f2526066@pvppcoe.ac.in</v>
      </c>
      <c r="C22" s="11" t="str">
        <f ca="1">IFERROR(__xludf.DUMMYFUNCTION("""COMPUTED_VALUE"""),"VU1F2526066")</f>
        <v>VU1F2526066</v>
      </c>
      <c r="D22" s="11" t="str">
        <f ca="1">IFERROR(__xludf.DUMMYFUNCTION("""COMPUTED_VALUE"""),"sohamtays13@gmail.com")</f>
        <v>sohamtays13@gmail.com</v>
      </c>
      <c r="E22" s="11" t="str">
        <f ca="1">IFERROR(__xludf.DUMMYFUNCTION("""COMPUTED_VALUE"""),"BHOGATE BALKRISHNA SUNIL ")</f>
        <v xml:space="preserve">BHOGATE BALKRISHNA SUNIL </v>
      </c>
      <c r="F22" s="11">
        <f ca="1">IFERROR(__xludf.DUMMYFUNCTION("""COMPUTED_VALUE"""),8275589550)</f>
        <v>8275589550</v>
      </c>
      <c r="G22" s="11" t="str">
        <f ca="1">IFERROR(__xludf.DUMMYFUNCTION("""COMPUTED_VALUE"""),"Second Year (Graduation Year of Passing:- 2029)")</f>
        <v>Second Year (Graduation Year of Passing:- 2029)</v>
      </c>
      <c r="H22" s="34" t="str">
        <f ca="1">IFERROR(__xludf.DUMMYFUNCTION("""COMPUTED_VALUE"""),"CS")</f>
        <v>CS</v>
      </c>
      <c r="I22" s="11" t="str">
        <f ca="1">IFERROR(__xludf.DUMMYFUNCTION("""COMPUTED_VALUE"""),"Complete C2C (Aptitude + Soft Skills + Technical) training - Rs 3500/-")</f>
        <v>Complete C2C (Aptitude + Soft Skills + Technical) training - Rs 3500/-</v>
      </c>
      <c r="J22" s="35" t="str">
        <f ca="1">IFERROR(__xludf.DUMMYFUNCTION("""COMPUTED_VALUE"""),"https://drive.google.com/open?id=1Gyd0FkkDMdghnB04mWafNjgGl8uxb4tW")</f>
        <v>https://drive.google.com/open?id=1Gyd0FkkDMdghnB04mWafNjgGl8uxb4tW</v>
      </c>
      <c r="K22" s="37">
        <v>3500</v>
      </c>
      <c r="L22" s="57" t="s">
        <v>98</v>
      </c>
      <c r="M22" s="57" t="s">
        <v>101</v>
      </c>
      <c r="N22" s="37" t="s">
        <v>104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22.5" customHeight="1" x14ac:dyDescent="0.25">
      <c r="A23" s="29">
        <f ca="1">IFERROR(__xludf.DUMMYFUNCTION("""COMPUTED_VALUE"""),46247.884376875)</f>
        <v>46247.884376875001</v>
      </c>
      <c r="B23" s="11" t="str">
        <f ca="1">IFERROR(__xludf.DUMMYFUNCTION("""COMPUTED_VALUE"""),"vu3f2526042@pvppcoe.ac.in")</f>
        <v>vu3f2526042@pvppcoe.ac.in</v>
      </c>
      <c r="C23" s="11" t="str">
        <f ca="1">IFERROR(__xludf.DUMMYFUNCTION("""COMPUTED_VALUE"""),"VU3F2526042")</f>
        <v>VU3F2526042</v>
      </c>
      <c r="D23" s="11" t="str">
        <f ca="1">IFERROR(__xludf.DUMMYFUNCTION("""COMPUTED_VALUE"""),"vu3f2526042@pvppcoe.ac.in")</f>
        <v>vu3f2526042@pvppcoe.ac.in</v>
      </c>
      <c r="E23" s="11" t="str">
        <f ca="1">IFERROR(__xludf.DUMMYFUNCTION("""COMPUTED_VALUE"""),"SAW PRINCE ARVIND ")</f>
        <v xml:space="preserve">SAW PRINCE ARVIND </v>
      </c>
      <c r="F23" s="11">
        <f ca="1">IFERROR(__xludf.DUMMYFUNCTION("""COMPUTED_VALUE"""),9594093061)</f>
        <v>9594093061</v>
      </c>
      <c r="G23" s="11" t="str">
        <f ca="1">IFERROR(__xludf.DUMMYFUNCTION("""COMPUTED_VALUE"""),"Second Year (Graduation Year of Passing:- 2029)")</f>
        <v>Second Year (Graduation Year of Passing:- 2029)</v>
      </c>
      <c r="H23" s="34" t="str">
        <f ca="1">IFERROR(__xludf.DUMMYFUNCTION("""COMPUTED_VALUE"""),"ECS")</f>
        <v>ECS</v>
      </c>
      <c r="I23" s="11" t="str">
        <f ca="1">IFERROR(__xludf.DUMMYFUNCTION("""COMPUTED_VALUE"""),"Complete C2C (Aptitude + Soft Skills + Technical) training - Rs 3500/-")</f>
        <v>Complete C2C (Aptitude + Soft Skills + Technical) training - Rs 3500/-</v>
      </c>
      <c r="J23" s="35" t="str">
        <f ca="1">IFERROR(__xludf.DUMMYFUNCTION("""COMPUTED_VALUE"""),"https://drive.google.com/open?id=1Cc3HD8aYHP5PFCBUjji35LEbR1_Omkzo")</f>
        <v>https://drive.google.com/open?id=1Cc3HD8aYHP5PFCBUjji35LEbR1_Omkzo</v>
      </c>
      <c r="K23" s="44">
        <v>3500</v>
      </c>
      <c r="L23" s="58" t="s">
        <v>98</v>
      </c>
      <c r="M23" s="58" t="s">
        <v>101</v>
      </c>
      <c r="N23" s="37" t="s">
        <v>104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22.5" customHeight="1" x14ac:dyDescent="0.25">
      <c r="A24" s="29">
        <f ca="1">IFERROR(__xludf.DUMMYFUNCTION("""COMPUTED_VALUE"""),46247.8499472453)</f>
        <v>46247.849947245297</v>
      </c>
      <c r="B24" s="11" t="str">
        <f ca="1">IFERROR(__xludf.DUMMYFUNCTION("""COMPUTED_VALUE"""),"vu1f2526105@pvppcoe.ac.in")</f>
        <v>vu1f2526105@pvppcoe.ac.in</v>
      </c>
      <c r="C24" s="11" t="str">
        <f ca="1">IFERROR(__xludf.DUMMYFUNCTION("""COMPUTED_VALUE"""),"VU1F2526105")</f>
        <v>VU1F2526105</v>
      </c>
      <c r="D24" s="11" t="str">
        <f ca="1">IFERROR(__xludf.DUMMYFUNCTION("""COMPUTED_VALUE"""),"vu1f2526105@pvppcoe.ac.in")</f>
        <v>vu1f2526105@pvppcoe.ac.in</v>
      </c>
      <c r="E24" s="11" t="str">
        <f ca="1">IFERROR(__xludf.DUMMYFUNCTION("""COMPUTED_VALUE"""),"Pawar Krishna Shahuraj")</f>
        <v>Pawar Krishna Shahuraj</v>
      </c>
      <c r="F24" s="11">
        <f ca="1">IFERROR(__xludf.DUMMYFUNCTION("""COMPUTED_VALUE"""),9082663796)</f>
        <v>9082663796</v>
      </c>
      <c r="G24" s="11" t="str">
        <f ca="1">IFERROR(__xludf.DUMMYFUNCTION("""COMPUTED_VALUE"""),"Second Year (Graduation Year of Passing:- 2029)")</f>
        <v>Second Year (Graduation Year of Passing:- 2029)</v>
      </c>
      <c r="H24" s="34" t="str">
        <f ca="1">IFERROR(__xludf.DUMMYFUNCTION("""COMPUTED_VALUE"""),"CS")</f>
        <v>CS</v>
      </c>
      <c r="I24" s="11" t="str">
        <f ca="1">IFERROR(__xludf.DUMMYFUNCTION("""COMPUTED_VALUE"""),"Complete C2C (Aptitude + Soft Skills + Technical) training - Rs 3500/-")</f>
        <v>Complete C2C (Aptitude + Soft Skills + Technical) training - Rs 3500/-</v>
      </c>
      <c r="J24" s="35" t="str">
        <f ca="1">IFERROR(__xludf.DUMMYFUNCTION("""COMPUTED_VALUE"""),"https://drive.google.com/open?id=1sm7ry2d6QGmhIGMA4Riij8Lx42boLNnr")</f>
        <v>https://drive.google.com/open?id=1sm7ry2d6QGmhIGMA4Riij8Lx42boLNnr</v>
      </c>
      <c r="K24" s="37">
        <v>3500</v>
      </c>
      <c r="L24" s="57" t="s">
        <v>98</v>
      </c>
      <c r="M24" s="57" t="s">
        <v>101</v>
      </c>
      <c r="N24" s="37" t="s">
        <v>104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22.5" customHeight="1" x14ac:dyDescent="0.25">
      <c r="A25" s="29">
        <f ca="1">IFERROR(__xludf.DUMMYFUNCTION("""COMPUTED_VALUE"""),46247.8345051041)</f>
        <v>46247.834505104103</v>
      </c>
      <c r="B25" s="11" t="str">
        <f ca="1">IFERROR(__xludf.DUMMYFUNCTION("""COMPUTED_VALUE"""),"vu1f2526053@pvppcoe.ac.in")</f>
        <v>vu1f2526053@pvppcoe.ac.in</v>
      </c>
      <c r="C25" s="11" t="str">
        <f ca="1">IFERROR(__xludf.DUMMYFUNCTION("""COMPUTED_VALUE"""),"VU1F2526053 ")</f>
        <v xml:space="preserve">VU1F2526053 </v>
      </c>
      <c r="D25" s="11" t="str">
        <f ca="1">IFERROR(__xludf.DUMMYFUNCTION("""COMPUTED_VALUE"""),"vu1f2526053@pvppcoe.ac.in")</f>
        <v>vu1f2526053@pvppcoe.ac.in</v>
      </c>
      <c r="E25" s="11" t="str">
        <f ca="1">IFERROR(__xludf.DUMMYFUNCTION("""COMPUTED_VALUE"""),"Shraddha Ajitkumar Mahadik ")</f>
        <v xml:space="preserve">Shraddha Ajitkumar Mahadik </v>
      </c>
      <c r="F25" s="11">
        <f ca="1">IFERROR(__xludf.DUMMYFUNCTION("""COMPUTED_VALUE"""),8652186570)</f>
        <v>8652186570</v>
      </c>
      <c r="G25" s="11" t="str">
        <f ca="1">IFERROR(__xludf.DUMMYFUNCTION("""COMPUTED_VALUE"""),"Second Year (Graduation Year of Passing:- 2029)")</f>
        <v>Second Year (Graduation Year of Passing:- 2029)</v>
      </c>
      <c r="H25" s="34" t="str">
        <f ca="1">IFERROR(__xludf.DUMMYFUNCTION("""COMPUTED_VALUE"""),"CS")</f>
        <v>CS</v>
      </c>
      <c r="I25" s="11" t="str">
        <f ca="1">IFERROR(__xludf.DUMMYFUNCTION("""COMPUTED_VALUE"""),"Complete C2C (Aptitude + Soft Skills + Technical) training - Rs 3500/-")</f>
        <v>Complete C2C (Aptitude + Soft Skills + Technical) training - Rs 3500/-</v>
      </c>
      <c r="J25" s="35" t="str">
        <f ca="1">IFERROR(__xludf.DUMMYFUNCTION("""COMPUTED_VALUE"""),"https://drive.google.com/open?id=1DXxK7otp-tFswoCMk9ga7g374BgjSnlT")</f>
        <v>https://drive.google.com/open?id=1DXxK7otp-tFswoCMk9ga7g374BgjSnlT</v>
      </c>
      <c r="K25" s="44">
        <v>3500</v>
      </c>
      <c r="L25" s="58" t="s">
        <v>98</v>
      </c>
      <c r="M25" s="58" t="s">
        <v>101</v>
      </c>
      <c r="N25" s="37" t="s">
        <v>104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22.5" customHeight="1" x14ac:dyDescent="0.25">
      <c r="A26" s="29">
        <f ca="1">IFERROR(__xludf.DUMMYFUNCTION("""COMPUTED_VALUE"""),46247.8184158564)</f>
        <v>46247.818415856404</v>
      </c>
      <c r="B26" s="11" t="str">
        <f ca="1">IFERROR(__xludf.DUMMYFUNCTION("""COMPUTED_VALUE"""),"vu2f2526002@pvppcoe.ac.in")</f>
        <v>vu2f2526002@pvppcoe.ac.in</v>
      </c>
      <c r="C26" s="11" t="str">
        <f ca="1">IFERROR(__xludf.DUMMYFUNCTION("""COMPUTED_VALUE"""),"VU2F2526002 ")</f>
        <v xml:space="preserve">VU2F2526002 </v>
      </c>
      <c r="D26" s="11" t="str">
        <f ca="1">IFERROR(__xludf.DUMMYFUNCTION("""COMPUTED_VALUE"""),"Vu2f2526002@pvppcoe.ac.in")</f>
        <v>Vu2f2526002@pvppcoe.ac.in</v>
      </c>
      <c r="E26" s="11" t="str">
        <f ca="1">IFERROR(__xludf.DUMMYFUNCTION("""COMPUTED_VALUE"""),"Supadeep Kumar Sur ")</f>
        <v xml:space="preserve">Supadeep Kumar Sur </v>
      </c>
      <c r="F26" s="11">
        <f ca="1">IFERROR(__xludf.DUMMYFUNCTION("""COMPUTED_VALUE"""),8617789530)</f>
        <v>8617789530</v>
      </c>
      <c r="G26" s="11" t="str">
        <f ca="1">IFERROR(__xludf.DUMMYFUNCTION("""COMPUTED_VALUE"""),"Second Year (Graduation Year of Passing:- 2029)")</f>
        <v>Second Year (Graduation Year of Passing:- 2029)</v>
      </c>
      <c r="H26" s="34" t="str">
        <f ca="1">IFERROR(__xludf.DUMMYFUNCTION("""COMPUTED_VALUE"""),"AI &amp; ML")</f>
        <v>AI &amp; ML</v>
      </c>
      <c r="I26" s="11" t="str">
        <f ca="1">IFERROR(__xludf.DUMMYFUNCTION("""COMPUTED_VALUE"""),"Complete C2C (Aptitude + Soft Skills + Technical) training - Rs 3500/-")</f>
        <v>Complete C2C (Aptitude + Soft Skills + Technical) training - Rs 3500/-</v>
      </c>
      <c r="J26" s="35" t="str">
        <f ca="1">IFERROR(__xludf.DUMMYFUNCTION("""COMPUTED_VALUE"""),"https://drive.google.com/open?id=1jxSDmQgZTYwYb5ugBgh-cYfpTeGXzoa_")</f>
        <v>https://drive.google.com/open?id=1jxSDmQgZTYwYb5ugBgh-cYfpTeGXzoa_</v>
      </c>
      <c r="K26" s="37">
        <v>3500</v>
      </c>
      <c r="L26" s="57" t="s">
        <v>98</v>
      </c>
      <c r="M26" s="57" t="s">
        <v>101</v>
      </c>
      <c r="N26" s="37" t="s">
        <v>104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22.5" customHeight="1" x14ac:dyDescent="0.25">
      <c r="A27" s="29">
        <f ca="1">IFERROR(__xludf.DUMMYFUNCTION("""COMPUTED_VALUE"""),46247.6474389699)</f>
        <v>46247.6474389699</v>
      </c>
      <c r="B27" s="11" t="str">
        <f ca="1">IFERROR(__xludf.DUMMYFUNCTION("""COMPUTED_VALUE"""),"vu1f2526036@pvppcoe.ac.in")</f>
        <v>vu1f2526036@pvppcoe.ac.in</v>
      </c>
      <c r="C27" s="11" t="str">
        <f ca="1">IFERROR(__xludf.DUMMYFUNCTION("""COMPUTED_VALUE"""),"VU1F2526036")</f>
        <v>VU1F2526036</v>
      </c>
      <c r="D27" s="11" t="str">
        <f ca="1">IFERROR(__xludf.DUMMYFUNCTION("""COMPUTED_VALUE"""),"vu1f2526036@pvppcoe.ac.in")</f>
        <v>vu1f2526036@pvppcoe.ac.in</v>
      </c>
      <c r="E27" s="11" t="str">
        <f ca="1">IFERROR(__xludf.DUMMYFUNCTION("""COMPUTED_VALUE"""),"Pawar Harshad Kailas")</f>
        <v>Pawar Harshad Kailas</v>
      </c>
      <c r="F27" s="11">
        <f ca="1">IFERROR(__xludf.DUMMYFUNCTION("""COMPUTED_VALUE"""),9403211247)</f>
        <v>9403211247</v>
      </c>
      <c r="G27" s="11" t="str">
        <f ca="1">IFERROR(__xludf.DUMMYFUNCTION("""COMPUTED_VALUE"""),"Second Year (Graduation Year of Passing:- 2029)")</f>
        <v>Second Year (Graduation Year of Passing:- 2029)</v>
      </c>
      <c r="H27" s="34" t="str">
        <f ca="1">IFERROR(__xludf.DUMMYFUNCTION("""COMPUTED_VALUE"""),"CS")</f>
        <v>CS</v>
      </c>
      <c r="I27" s="11" t="str">
        <f ca="1">IFERROR(__xludf.DUMMYFUNCTION("""COMPUTED_VALUE"""),"Complete C2C (Aptitude + Soft Skills + Technical) training - Rs 3500/-")</f>
        <v>Complete C2C (Aptitude + Soft Skills + Technical) training - Rs 3500/-</v>
      </c>
      <c r="J27" s="35" t="str">
        <f ca="1">IFERROR(__xludf.DUMMYFUNCTION("""COMPUTED_VALUE"""),"https://drive.google.com/open?id=1aYnIYWYSEs730Q2WVdzbCeOUELBwznve")</f>
        <v>https://drive.google.com/open?id=1aYnIYWYSEs730Q2WVdzbCeOUELBwznve</v>
      </c>
      <c r="K27" s="44">
        <v>3500</v>
      </c>
      <c r="L27" s="58" t="s">
        <v>98</v>
      </c>
      <c r="M27" s="58" t="s">
        <v>101</v>
      </c>
      <c r="N27" s="37" t="s">
        <v>104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22.5" customHeight="1" x14ac:dyDescent="0.25">
      <c r="A28" s="29">
        <f ca="1">IFERROR(__xludf.DUMMYFUNCTION("""COMPUTED_VALUE"""),46247.574955868)</f>
        <v>46247.574955868004</v>
      </c>
      <c r="B28" s="11" t="str">
        <f ca="1">IFERROR(__xludf.DUMMYFUNCTION("""COMPUTED_VALUE"""),"vu1f2526013@pvppcoe.ac.in")</f>
        <v>vu1f2526013@pvppcoe.ac.in</v>
      </c>
      <c r="C28" s="11" t="str">
        <f ca="1">IFERROR(__xludf.DUMMYFUNCTION("""COMPUTED_VALUE"""),"VU1F2526013")</f>
        <v>VU1F2526013</v>
      </c>
      <c r="D28" s="11" t="str">
        <f ca="1">IFERROR(__xludf.DUMMYFUNCTION("""COMPUTED_VALUE"""),"vu1f2526013@pvppcoe.ac.in")</f>
        <v>vu1f2526013@pvppcoe.ac.in</v>
      </c>
      <c r="E28" s="11" t="str">
        <f ca="1">IFERROR(__xludf.DUMMYFUNCTION("""COMPUTED_VALUE"""),"Dhindale Pravin Vishnu")</f>
        <v>Dhindale Pravin Vishnu</v>
      </c>
      <c r="F28" s="11">
        <f ca="1">IFERROR(__xludf.DUMMYFUNCTION("""COMPUTED_VALUE"""),9167029632)</f>
        <v>9167029632</v>
      </c>
      <c r="G28" s="11" t="str">
        <f ca="1">IFERROR(__xludf.DUMMYFUNCTION("""COMPUTED_VALUE"""),"Second Year (Graduation Year of Passing:- 2029)")</f>
        <v>Second Year (Graduation Year of Passing:- 2029)</v>
      </c>
      <c r="H28" s="34" t="str">
        <f ca="1">IFERROR(__xludf.DUMMYFUNCTION("""COMPUTED_VALUE"""),"CS")</f>
        <v>CS</v>
      </c>
      <c r="I28" s="11" t="str">
        <f ca="1">IFERROR(__xludf.DUMMYFUNCTION("""COMPUTED_VALUE"""),"Complete C2C (Aptitude + Soft Skills + Technical) training - Rs 3500/-")</f>
        <v>Complete C2C (Aptitude + Soft Skills + Technical) training - Rs 3500/-</v>
      </c>
      <c r="J28" s="35" t="str">
        <f ca="1">IFERROR(__xludf.DUMMYFUNCTION("""COMPUTED_VALUE"""),"https://drive.google.com/open?id=1lZ8R3sKXe5XClB1j5BIKx4PSveS4iY94")</f>
        <v>https://drive.google.com/open?id=1lZ8R3sKXe5XClB1j5BIKx4PSveS4iY94</v>
      </c>
      <c r="K28" s="37">
        <v>3500</v>
      </c>
      <c r="L28" s="57" t="s">
        <v>98</v>
      </c>
      <c r="M28" s="57" t="s">
        <v>101</v>
      </c>
      <c r="N28" s="37" t="s">
        <v>104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22.5" customHeight="1" x14ac:dyDescent="0.25">
      <c r="A29" s="29">
        <f ca="1">IFERROR(__xludf.DUMMYFUNCTION("""COMPUTED_VALUE"""),46247.5205790509)</f>
        <v>46247.520579050899</v>
      </c>
      <c r="B29" s="11" t="str">
        <f ca="1">IFERROR(__xludf.DUMMYFUNCTION("""COMPUTED_VALUE"""),"vu4f2526113@pvppcoe.ac.in")</f>
        <v>vu4f2526113@pvppcoe.ac.in</v>
      </c>
      <c r="C29" s="11" t="str">
        <f ca="1">IFERROR(__xludf.DUMMYFUNCTION("""COMPUTED_VALUE"""),"VU4F2526113 ")</f>
        <v xml:space="preserve">VU4F2526113 </v>
      </c>
      <c r="D29" s="11" t="str">
        <f ca="1">IFERROR(__xludf.DUMMYFUNCTION("""COMPUTED_VALUE"""),"Vu4f2526113@pvppcoe.ac.in")</f>
        <v>Vu4f2526113@pvppcoe.ac.in</v>
      </c>
      <c r="E29" s="11" t="str">
        <f ca="1">IFERROR(__xludf.DUMMYFUNCTION("""COMPUTED_VALUE"""),"SHIKARI MURTAZA MOHAMMAD ")</f>
        <v xml:space="preserve">SHIKARI MURTAZA MOHAMMAD </v>
      </c>
      <c r="F29" s="11">
        <f ca="1">IFERROR(__xludf.DUMMYFUNCTION("""COMPUTED_VALUE"""),8779982858)</f>
        <v>8779982858</v>
      </c>
      <c r="G29" s="11" t="str">
        <f ca="1">IFERROR(__xludf.DUMMYFUNCTION("""COMPUTED_VALUE"""),"Second Year (Graduation Year of Passing:- 2029)")</f>
        <v>Second Year (Graduation Year of Passing:- 2029)</v>
      </c>
      <c r="H29" s="34" t="str">
        <f ca="1">IFERROR(__xludf.DUMMYFUNCTION("""COMPUTED_VALUE"""),"IT")</f>
        <v>IT</v>
      </c>
      <c r="I29" s="11" t="str">
        <f ca="1">IFERROR(__xludf.DUMMYFUNCTION("""COMPUTED_VALUE"""),"Complete C2C (Aptitude + Soft Skills + Technical) training - Rs 3500/-")</f>
        <v>Complete C2C (Aptitude + Soft Skills + Technical) training - Rs 3500/-</v>
      </c>
      <c r="J29" s="35" t="str">
        <f ca="1">IFERROR(__xludf.DUMMYFUNCTION("""COMPUTED_VALUE"""),"https://drive.google.com/open?id=1r1WGJDeiGs0Au86L4TqpLQdlPjm2PlhS")</f>
        <v>https://drive.google.com/open?id=1r1WGJDeiGs0Au86L4TqpLQdlPjm2PlhS</v>
      </c>
      <c r="K29" s="44">
        <v>3500</v>
      </c>
      <c r="L29" s="45" t="s">
        <v>98</v>
      </c>
      <c r="M29" s="45" t="s">
        <v>101</v>
      </c>
      <c r="N29" s="37" t="s">
        <v>104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22.5" customHeight="1" x14ac:dyDescent="0.25">
      <c r="A30" s="29">
        <f ca="1">IFERROR(__xludf.DUMMYFUNCTION("""COMPUTED_VALUE"""),46247.4147686689)</f>
        <v>46247.414768668903</v>
      </c>
      <c r="B30" s="11" t="str">
        <f ca="1">IFERROR(__xludf.DUMMYFUNCTION("""COMPUTED_VALUE"""),"vu1f2526073@pvppcoe.ac.in")</f>
        <v>vu1f2526073@pvppcoe.ac.in</v>
      </c>
      <c r="C30" s="11" t="str">
        <f ca="1">IFERROR(__xludf.DUMMYFUNCTION("""COMPUTED_VALUE"""),"VU1F2526073 ")</f>
        <v xml:space="preserve">VU1F2526073 </v>
      </c>
      <c r="D30" s="11" t="str">
        <f ca="1">IFERROR(__xludf.DUMMYFUNCTION("""COMPUTED_VALUE"""),"VU1F2526073@PVPPCOE.AC.IN")</f>
        <v>VU1F2526073@PVPPCOE.AC.IN</v>
      </c>
      <c r="E30" s="11" t="str">
        <f ca="1">IFERROR(__xludf.DUMMYFUNCTION("""COMPUTED_VALUE"""),"GHARAT ANOKHI PRASHANT PRANITA ")</f>
        <v xml:space="preserve">GHARAT ANOKHI PRASHANT PRANITA </v>
      </c>
      <c r="F30" s="11">
        <f ca="1">IFERROR(__xludf.DUMMYFUNCTION("""COMPUTED_VALUE"""),9764311207)</f>
        <v>9764311207</v>
      </c>
      <c r="G30" s="11" t="str">
        <f ca="1">IFERROR(__xludf.DUMMYFUNCTION("""COMPUTED_VALUE"""),"Second Year (Graduation Year of Passing:- 2029)")</f>
        <v>Second Year (Graduation Year of Passing:- 2029)</v>
      </c>
      <c r="H30" s="34" t="str">
        <f ca="1">IFERROR(__xludf.DUMMYFUNCTION("""COMPUTED_VALUE"""),"CS")</f>
        <v>CS</v>
      </c>
      <c r="I30" s="11" t="str">
        <f ca="1">IFERROR(__xludf.DUMMYFUNCTION("""COMPUTED_VALUE"""),"Complete C2C (Aptitude + Soft Skills + Technical) training - Rs 3500/-")</f>
        <v>Complete C2C (Aptitude + Soft Skills + Technical) training - Rs 3500/-</v>
      </c>
      <c r="J30" s="35" t="str">
        <f ca="1">IFERROR(__xludf.DUMMYFUNCTION("""COMPUTED_VALUE"""),"https://drive.google.com/open?id=13TgqsONgirCRCJ4kS5rG29-60bj9tqhm")</f>
        <v>https://drive.google.com/open?id=13TgqsONgirCRCJ4kS5rG29-60bj9tqhm</v>
      </c>
      <c r="K30" s="37">
        <v>3500</v>
      </c>
      <c r="L30" s="57" t="s">
        <v>98</v>
      </c>
      <c r="M30" s="38" t="s">
        <v>101</v>
      </c>
      <c r="N30" s="37" t="s">
        <v>104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22.5" customHeight="1" x14ac:dyDescent="0.25">
      <c r="A31" s="29">
        <f ca="1">IFERROR(__xludf.DUMMYFUNCTION("""COMPUTED_VALUE"""),46246.9725543865)</f>
        <v>46246.972554386499</v>
      </c>
      <c r="B31" s="11" t="str">
        <f ca="1">IFERROR(__xludf.DUMMYFUNCTION("""COMPUTED_VALUE"""),"vu1f2526029@pvppcoe.ac.in")</f>
        <v>vu1f2526029@pvppcoe.ac.in</v>
      </c>
      <c r="C31" s="11" t="str">
        <f ca="1">IFERROR(__xludf.DUMMYFUNCTION("""COMPUTED_VALUE"""),"VU1F2526029")</f>
        <v>VU1F2526029</v>
      </c>
      <c r="D31" s="11" t="str">
        <f ca="1">IFERROR(__xludf.DUMMYFUNCTION("""COMPUTED_VALUE"""),"vu1f2526029@pvppcoe.ac.in")</f>
        <v>vu1f2526029@pvppcoe.ac.in</v>
      </c>
      <c r="E31" s="11" t="str">
        <f ca="1">IFERROR(__xludf.DUMMYFUNCTION("""COMPUTED_VALUE"""),"Devashree Sarvade ")</f>
        <v xml:space="preserve">Devashree Sarvade </v>
      </c>
      <c r="F31" s="11">
        <f ca="1">IFERROR(__xludf.DUMMYFUNCTION("""COMPUTED_VALUE"""),9321232991)</f>
        <v>9321232991</v>
      </c>
      <c r="G31" s="11" t="str">
        <f ca="1">IFERROR(__xludf.DUMMYFUNCTION("""COMPUTED_VALUE"""),"Second Year (Graduation Year of Passing:- 2029)")</f>
        <v>Second Year (Graduation Year of Passing:- 2029)</v>
      </c>
      <c r="H31" s="34" t="str">
        <f ca="1">IFERROR(__xludf.DUMMYFUNCTION("""COMPUTED_VALUE"""),"CS")</f>
        <v>CS</v>
      </c>
      <c r="I31" s="11" t="str">
        <f ca="1">IFERROR(__xludf.DUMMYFUNCTION("""COMPUTED_VALUE"""),"Complete C2C (Aptitude + Soft Skills + Technical) training - Rs 3500/-")</f>
        <v>Complete C2C (Aptitude + Soft Skills + Technical) training - Rs 3500/-</v>
      </c>
      <c r="J31" s="35" t="str">
        <f ca="1">IFERROR(__xludf.DUMMYFUNCTION("""COMPUTED_VALUE"""),"https://drive.google.com/open?id=17llLcndaE4vzOZYIrd0QEhmMNumu3zRy")</f>
        <v>https://drive.google.com/open?id=17llLcndaE4vzOZYIrd0QEhmMNumu3zRy</v>
      </c>
      <c r="K31" s="44">
        <v>3500</v>
      </c>
      <c r="L31" s="58" t="s">
        <v>98</v>
      </c>
      <c r="M31" s="45" t="s">
        <v>101</v>
      </c>
      <c r="N31" s="37" t="s">
        <v>104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22.5" customHeight="1" x14ac:dyDescent="0.25">
      <c r="A32" s="29">
        <f ca="1">IFERROR(__xludf.DUMMYFUNCTION("""COMPUTED_VALUE"""),46246.8341090277)</f>
        <v>46246.834109027703</v>
      </c>
      <c r="B32" s="11" t="str">
        <f ca="1">IFERROR(__xludf.DUMMYFUNCTION("""COMPUTED_VALUE"""),"vu1f2526008@pvppcoe.ac.in")</f>
        <v>vu1f2526008@pvppcoe.ac.in</v>
      </c>
      <c r="C32" s="11" t="str">
        <f ca="1">IFERROR(__xludf.DUMMYFUNCTION("""COMPUTED_VALUE"""),"VU1F2526008")</f>
        <v>VU1F2526008</v>
      </c>
      <c r="D32" s="11" t="str">
        <f ca="1">IFERROR(__xludf.DUMMYFUNCTION("""COMPUTED_VALUE"""),"vu1f2526008@pvppcoe.ac.in")</f>
        <v>vu1f2526008@pvppcoe.ac.in</v>
      </c>
      <c r="E32" s="11" t="str">
        <f ca="1">IFERROR(__xludf.DUMMYFUNCTION("""COMPUTED_VALUE"""),"SHAIKH MOHAMMED AMAAN FAROOQ")</f>
        <v>SHAIKH MOHAMMED AMAAN FAROOQ</v>
      </c>
      <c r="F32" s="11">
        <f ca="1">IFERROR(__xludf.DUMMYFUNCTION("""COMPUTED_VALUE"""),7208777716)</f>
        <v>7208777716</v>
      </c>
      <c r="G32" s="11" t="str">
        <f ca="1">IFERROR(__xludf.DUMMYFUNCTION("""COMPUTED_VALUE"""),"Second Year (Graduation Year of Passing:- 2029)")</f>
        <v>Second Year (Graduation Year of Passing:- 2029)</v>
      </c>
      <c r="H32" s="34" t="str">
        <f ca="1">IFERROR(__xludf.DUMMYFUNCTION("""COMPUTED_VALUE"""),"CS")</f>
        <v>CS</v>
      </c>
      <c r="I32" s="11" t="str">
        <f ca="1">IFERROR(__xludf.DUMMYFUNCTION("""COMPUTED_VALUE"""),"Complete C2C (Aptitude + Soft Skills + Technical) training - Rs 3500/-")</f>
        <v>Complete C2C (Aptitude + Soft Skills + Technical) training - Rs 3500/-</v>
      </c>
      <c r="J32" s="35" t="str">
        <f ca="1">IFERROR(__xludf.DUMMYFUNCTION("""COMPUTED_VALUE"""),"https://drive.google.com/open?id=1cxDZiUDOuk2LQ5sfxtsf8nMYRq8xImBd")</f>
        <v>https://drive.google.com/open?id=1cxDZiUDOuk2LQ5sfxtsf8nMYRq8xImBd</v>
      </c>
      <c r="K32" s="37">
        <v>3500</v>
      </c>
      <c r="L32" s="57" t="s">
        <v>98</v>
      </c>
      <c r="M32" s="38" t="s">
        <v>101</v>
      </c>
      <c r="N32" s="37" t="s">
        <v>104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22.5" customHeight="1" x14ac:dyDescent="0.25">
      <c r="A33" s="29">
        <f ca="1">IFERROR(__xludf.DUMMYFUNCTION("""COMPUTED_VALUE"""),46246.7438282754)</f>
        <v>46246.743828275401</v>
      </c>
      <c r="B33" s="11" t="str">
        <f ca="1">IFERROR(__xludf.DUMMYFUNCTION("""COMPUTED_VALUE"""),"vu3f2526044@pvppcoe.ac.in")</f>
        <v>vu3f2526044@pvppcoe.ac.in</v>
      </c>
      <c r="C33" s="11" t="str">
        <f ca="1">IFERROR(__xludf.DUMMYFUNCTION("""COMPUTED_VALUE"""),"VU3F2526044")</f>
        <v>VU3F2526044</v>
      </c>
      <c r="D33" s="11" t="str">
        <f ca="1">IFERROR(__xludf.DUMMYFUNCTION("""COMPUTED_VALUE"""),"vu3f2526044@pvppcoe.ac.in")</f>
        <v>vu3f2526044@pvppcoe.ac.in</v>
      </c>
      <c r="E33" s="11" t="str">
        <f ca="1">IFERROR(__xludf.DUMMYFUNCTION("""COMPUTED_VALUE"""),"LONDHE SAMIKSHA MAHADEV ")</f>
        <v xml:space="preserve">LONDHE SAMIKSHA MAHADEV </v>
      </c>
      <c r="F33" s="11">
        <f ca="1">IFERROR(__xludf.DUMMYFUNCTION("""COMPUTED_VALUE"""),9324957911)</f>
        <v>9324957911</v>
      </c>
      <c r="G33" s="11" t="str">
        <f ca="1">IFERROR(__xludf.DUMMYFUNCTION("""COMPUTED_VALUE"""),"Second Year (Graduation Year of Passing:- 2029)")</f>
        <v>Second Year (Graduation Year of Passing:- 2029)</v>
      </c>
      <c r="H33" s="34" t="str">
        <f ca="1">IFERROR(__xludf.DUMMYFUNCTION("""COMPUTED_VALUE"""),"ECS")</f>
        <v>ECS</v>
      </c>
      <c r="I33" s="11" t="str">
        <f ca="1">IFERROR(__xludf.DUMMYFUNCTION("""COMPUTED_VALUE"""),"Complete C2C (Aptitude + Soft Skills + Technical) training - Rs 3500/-")</f>
        <v>Complete C2C (Aptitude + Soft Skills + Technical) training - Rs 3500/-</v>
      </c>
      <c r="J33" s="35" t="str">
        <f ca="1">IFERROR(__xludf.DUMMYFUNCTION("""COMPUTED_VALUE"""),"https://drive.google.com/open?id=1TL8kIRI-jjZwU2yzm-9lnsLywvPK2AeW")</f>
        <v>https://drive.google.com/open?id=1TL8kIRI-jjZwU2yzm-9lnsLywvPK2AeW</v>
      </c>
      <c r="K33" s="44">
        <v>3500</v>
      </c>
      <c r="L33" s="58" t="s">
        <v>98</v>
      </c>
      <c r="M33" s="58" t="s">
        <v>101</v>
      </c>
      <c r="N33" s="37" t="s">
        <v>104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22.5" customHeight="1" x14ac:dyDescent="0.25">
      <c r="A34" s="29">
        <f ca="1">IFERROR(__xludf.DUMMYFUNCTION("""COMPUTED_VALUE"""),46246.6290157291)</f>
        <v>46246.629015729101</v>
      </c>
      <c r="B34" s="11" t="str">
        <f ca="1">IFERROR(__xludf.DUMMYFUNCTION("""COMPUTED_VALUE"""),"vu3f2526028@pvppcoe.ac.in")</f>
        <v>vu3f2526028@pvppcoe.ac.in</v>
      </c>
      <c r="C34" s="11" t="str">
        <f ca="1">IFERROR(__xludf.DUMMYFUNCTION("""COMPUTED_VALUE"""),"VU3F2526028 ")</f>
        <v xml:space="preserve">VU3F2526028 </v>
      </c>
      <c r="D34" s="11" t="str">
        <f ca="1">IFERROR(__xludf.DUMMYFUNCTION("""COMPUTED_VALUE"""),"VU3F2526028@pvppcoe.ac.in")</f>
        <v>VU3F2526028@pvppcoe.ac.in</v>
      </c>
      <c r="E34" s="11" t="str">
        <f ca="1">IFERROR(__xludf.DUMMYFUNCTION("""COMPUTED_VALUE"""),"JAGTAP PARTH UDAY")</f>
        <v>JAGTAP PARTH UDAY</v>
      </c>
      <c r="F34" s="11">
        <f ca="1">IFERROR(__xludf.DUMMYFUNCTION("""COMPUTED_VALUE"""),8657656240)</f>
        <v>8657656240</v>
      </c>
      <c r="G34" s="11" t="str">
        <f ca="1">IFERROR(__xludf.DUMMYFUNCTION("""COMPUTED_VALUE"""),"Second Year (Graduation Year of Passing:- 2029)")</f>
        <v>Second Year (Graduation Year of Passing:- 2029)</v>
      </c>
      <c r="H34" s="34" t="str">
        <f ca="1">IFERROR(__xludf.DUMMYFUNCTION("""COMPUTED_VALUE"""),"ECS")</f>
        <v>ECS</v>
      </c>
      <c r="I34" s="11" t="str">
        <f ca="1">IFERROR(__xludf.DUMMYFUNCTION("""COMPUTED_VALUE"""),"Complete C2C (Aptitude + Soft Skills + Technical) training - Rs 3500/-")</f>
        <v>Complete C2C (Aptitude + Soft Skills + Technical) training - Rs 3500/-</v>
      </c>
      <c r="J34" s="35" t="str">
        <f ca="1">IFERROR(__xludf.DUMMYFUNCTION("""COMPUTED_VALUE"""),"https://drive.google.com/open?id=1srRlYAT9y7NBBA6cyPXeqA296CqnEUo5")</f>
        <v>https://drive.google.com/open?id=1srRlYAT9y7NBBA6cyPXeqA296CqnEUo5</v>
      </c>
      <c r="K34" s="37">
        <v>3500</v>
      </c>
      <c r="L34" s="57" t="s">
        <v>98</v>
      </c>
      <c r="M34" s="57" t="s">
        <v>101</v>
      </c>
      <c r="N34" s="37" t="s">
        <v>104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22.5" customHeight="1" x14ac:dyDescent="0.25">
      <c r="A35" s="29">
        <f ca="1">IFERROR(__xludf.DUMMYFUNCTION("""COMPUTED_VALUE"""),46246.5759657407)</f>
        <v>46246.575965740703</v>
      </c>
      <c r="B35" s="11" t="str">
        <f ca="1">IFERROR(__xludf.DUMMYFUNCTION("""COMPUTED_VALUE"""),"vu1f2526119@pvppcoe.ac.in")</f>
        <v>vu1f2526119@pvppcoe.ac.in</v>
      </c>
      <c r="C35" s="11" t="str">
        <f ca="1">IFERROR(__xludf.DUMMYFUNCTION("""COMPUTED_VALUE"""),"VU1F2526119 ")</f>
        <v xml:space="preserve">VU1F2526119 </v>
      </c>
      <c r="D35" s="11" t="str">
        <f ca="1">IFERROR(__xludf.DUMMYFUNCTION("""COMPUTED_VALUE"""),"vu1f2526074@pvppcoe.ac.in")</f>
        <v>vu1f2526074@pvppcoe.ac.in</v>
      </c>
      <c r="E35" s="11" t="str">
        <f ca="1">IFERROR(__xludf.DUMMYFUNCTION("""COMPUTED_VALUE"""),"Ghadge Vinayak Yuvraj ")</f>
        <v xml:space="preserve">Ghadge Vinayak Yuvraj </v>
      </c>
      <c r="F35" s="11">
        <f ca="1">IFERROR(__xludf.DUMMYFUNCTION("""COMPUTED_VALUE"""),9324633282)</f>
        <v>9324633282</v>
      </c>
      <c r="G35" s="11" t="str">
        <f ca="1">IFERROR(__xludf.DUMMYFUNCTION("""COMPUTED_VALUE"""),"Second Year (Graduation Year of Passing:- 2029)")</f>
        <v>Second Year (Graduation Year of Passing:- 2029)</v>
      </c>
      <c r="H35" s="34" t="str">
        <f ca="1">IFERROR(__xludf.DUMMYFUNCTION("""COMPUTED_VALUE"""),"CS")</f>
        <v>CS</v>
      </c>
      <c r="I35" s="11" t="str">
        <f ca="1">IFERROR(__xludf.DUMMYFUNCTION("""COMPUTED_VALUE"""),"Complete C2C (Aptitude + Soft Skills + Technical) training - Rs 3500/-")</f>
        <v>Complete C2C (Aptitude + Soft Skills + Technical) training - Rs 3500/-</v>
      </c>
      <c r="J35" s="35" t="str">
        <f ca="1">IFERROR(__xludf.DUMMYFUNCTION("""COMPUTED_VALUE"""),"https://drive.google.com/open?id=1Wrbs6tZk5dcbvP607WIJtE8_0FTw2m2l")</f>
        <v>https://drive.google.com/open?id=1Wrbs6tZk5dcbvP607WIJtE8_0FTw2m2l</v>
      </c>
      <c r="K35" s="44">
        <v>3500</v>
      </c>
      <c r="L35" s="58" t="s">
        <v>98</v>
      </c>
      <c r="M35" s="58" t="s">
        <v>101</v>
      </c>
      <c r="N35" s="44" t="s">
        <v>104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22.5" customHeight="1" x14ac:dyDescent="0.25">
      <c r="A36" s="29">
        <f ca="1">IFERROR(__xludf.DUMMYFUNCTION("""COMPUTED_VALUE"""),46246.5739620138)</f>
        <v>46246.573962013797</v>
      </c>
      <c r="B36" s="11" t="str">
        <f ca="1">IFERROR(__xludf.DUMMYFUNCTION("""COMPUTED_VALUE"""),"vu3f2526078@pvppcoe.ac.in")</f>
        <v>vu3f2526078@pvppcoe.ac.in</v>
      </c>
      <c r="C36" s="11" t="str">
        <f ca="1">IFERROR(__xludf.DUMMYFUNCTION("""COMPUTED_VALUE"""),"VU3F2526078")</f>
        <v>VU3F2526078</v>
      </c>
      <c r="D36" s="11" t="str">
        <f ca="1">IFERROR(__xludf.DUMMYFUNCTION("""COMPUTED_VALUE"""),"vu3f2526078@pvppcoe.ac.in")</f>
        <v>vu3f2526078@pvppcoe.ac.in</v>
      </c>
      <c r="E36" s="11" t="str">
        <f ca="1">IFERROR(__xludf.DUMMYFUNCTION("""COMPUTED_VALUE"""),"Rajat Vijay Govekar ")</f>
        <v xml:space="preserve">Rajat Vijay Govekar </v>
      </c>
      <c r="F36" s="11" t="str">
        <f ca="1">IFERROR(__xludf.DUMMYFUNCTION("""COMPUTED_VALUE""")," 97023 11756")</f>
        <v xml:space="preserve"> 97023 11756</v>
      </c>
      <c r="G36" s="11" t="str">
        <f ca="1">IFERROR(__xludf.DUMMYFUNCTION("""COMPUTED_VALUE"""),"Second Year (Graduation Year of Passing:- 2029)")</f>
        <v>Second Year (Graduation Year of Passing:- 2029)</v>
      </c>
      <c r="H36" s="34" t="str">
        <f ca="1">IFERROR(__xludf.DUMMYFUNCTION("""COMPUTED_VALUE"""),"ECS")</f>
        <v>ECS</v>
      </c>
      <c r="I36" s="11" t="str">
        <f ca="1">IFERROR(__xludf.DUMMYFUNCTION("""COMPUTED_VALUE"""),"Complete C2C (Aptitude + Soft Skills + Technical) training - Rs 3500/-")</f>
        <v>Complete C2C (Aptitude + Soft Skills + Technical) training - Rs 3500/-</v>
      </c>
      <c r="J36" s="35" t="str">
        <f ca="1">IFERROR(__xludf.DUMMYFUNCTION("""COMPUTED_VALUE"""),"https://drive.google.com/open?id=1t9jfpmdNgdQ1Hr5Lhj-1JILHkK8gly94")</f>
        <v>https://drive.google.com/open?id=1t9jfpmdNgdQ1Hr5Lhj-1JILHkK8gly94</v>
      </c>
      <c r="K36" s="37">
        <v>3500</v>
      </c>
      <c r="L36" s="57" t="s">
        <v>98</v>
      </c>
      <c r="M36" s="57" t="s">
        <v>101</v>
      </c>
      <c r="N36" s="37" t="s">
        <v>104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22.5" customHeight="1" x14ac:dyDescent="0.25">
      <c r="A37" s="29">
        <f ca="1">IFERROR(__xludf.DUMMYFUNCTION("""COMPUTED_VALUE"""),46246.5173438657)</f>
        <v>46246.5173438657</v>
      </c>
      <c r="B37" s="11" t="str">
        <f ca="1">IFERROR(__xludf.DUMMYFUNCTION("""COMPUTED_VALUE"""),"vu1f2526136@pvppcoe.ac.in")</f>
        <v>vu1f2526136@pvppcoe.ac.in</v>
      </c>
      <c r="C37" s="11" t="str">
        <f ca="1">IFERROR(__xludf.DUMMYFUNCTION("""COMPUTED_VALUE"""),"VU1F2526136")</f>
        <v>VU1F2526136</v>
      </c>
      <c r="D37" s="11" t="str">
        <f ca="1">IFERROR(__xludf.DUMMYFUNCTION("""COMPUTED_VALUE"""),"vu1f2526136@pvppcoe.ac.in")</f>
        <v>vu1f2526136@pvppcoe.ac.in</v>
      </c>
      <c r="E37" s="11" t="str">
        <f ca="1">IFERROR(__xludf.DUMMYFUNCTION("""COMPUTED_VALUE"""),"Sawant Parth Balkrushna")</f>
        <v>Sawant Parth Balkrushna</v>
      </c>
      <c r="F37" s="11">
        <f ca="1">IFERROR(__xludf.DUMMYFUNCTION("""COMPUTED_VALUE"""),9967976058)</f>
        <v>9967976058</v>
      </c>
      <c r="G37" s="11" t="str">
        <f ca="1">IFERROR(__xludf.DUMMYFUNCTION("""COMPUTED_VALUE"""),"Second Year (Graduation Year of Passing:- 2029)")</f>
        <v>Second Year (Graduation Year of Passing:- 2029)</v>
      </c>
      <c r="H37" s="34" t="str">
        <f ca="1">IFERROR(__xludf.DUMMYFUNCTION("""COMPUTED_VALUE"""),"CS")</f>
        <v>CS</v>
      </c>
      <c r="I37" s="11" t="str">
        <f ca="1">IFERROR(__xludf.DUMMYFUNCTION("""COMPUTED_VALUE"""),"Complete C2C (Aptitude + Soft Skills + Technical) training - Rs 3500/-")</f>
        <v>Complete C2C (Aptitude + Soft Skills + Technical) training - Rs 3500/-</v>
      </c>
      <c r="J37" s="35" t="str">
        <f ca="1">IFERROR(__xludf.DUMMYFUNCTION("""COMPUTED_VALUE"""),"https://drive.google.com/open?id=18G7jiEi4fs4Fva43E03f1NPLNQp2frY5")</f>
        <v>https://drive.google.com/open?id=18G7jiEi4fs4Fva43E03f1NPLNQp2frY5</v>
      </c>
      <c r="K37" s="44">
        <v>3500</v>
      </c>
      <c r="L37" s="58" t="s">
        <v>98</v>
      </c>
      <c r="M37" s="58" t="s">
        <v>101</v>
      </c>
      <c r="N37" s="37" t="s">
        <v>104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22.5" customHeight="1" x14ac:dyDescent="0.25">
      <c r="A38" s="29">
        <f ca="1">IFERROR(__xludf.DUMMYFUNCTION("""COMPUTED_VALUE"""),46246.4768027314)</f>
        <v>46246.476802731398</v>
      </c>
      <c r="B38" s="11" t="str">
        <f ca="1">IFERROR(__xludf.DUMMYFUNCTION("""COMPUTED_VALUE"""),"vu3f2526045@pvppcoe.ac.in")</f>
        <v>vu3f2526045@pvppcoe.ac.in</v>
      </c>
      <c r="C38" s="11" t="str">
        <f ca="1">IFERROR(__xludf.DUMMYFUNCTION("""COMPUTED_VALUE"""),"VU3F2526045")</f>
        <v>VU3F2526045</v>
      </c>
      <c r="D38" s="11" t="str">
        <f ca="1">IFERROR(__xludf.DUMMYFUNCTION("""COMPUTED_VALUE"""),"vu3f2526045@pvppcoe.ac.in")</f>
        <v>vu3f2526045@pvppcoe.ac.in</v>
      </c>
      <c r="E38" s="11" t="str">
        <f ca="1">IFERROR(__xludf.DUMMYFUNCTION("""COMPUTED_VALUE"""),"JINDAM SHRIYANS BALKRISHNA")</f>
        <v>JINDAM SHRIYANS BALKRISHNA</v>
      </c>
      <c r="F38" s="11">
        <f ca="1">IFERROR(__xludf.DUMMYFUNCTION("""COMPUTED_VALUE"""),9082091556)</f>
        <v>9082091556</v>
      </c>
      <c r="G38" s="11" t="str">
        <f ca="1">IFERROR(__xludf.DUMMYFUNCTION("""COMPUTED_VALUE"""),"Second Year (Graduation Year of Passing:- 2029)")</f>
        <v>Second Year (Graduation Year of Passing:- 2029)</v>
      </c>
      <c r="H38" s="34" t="str">
        <f ca="1">IFERROR(__xludf.DUMMYFUNCTION("""COMPUTED_VALUE"""),"ECS")</f>
        <v>ECS</v>
      </c>
      <c r="I38" s="11" t="str">
        <f ca="1">IFERROR(__xludf.DUMMYFUNCTION("""COMPUTED_VALUE"""),"Complete C2C (Aptitude + Soft Skills + Technical) training - Rs 3500/-")</f>
        <v>Complete C2C (Aptitude + Soft Skills + Technical) training - Rs 3500/-</v>
      </c>
      <c r="J38" s="35" t="str">
        <f ca="1">IFERROR(__xludf.DUMMYFUNCTION("""COMPUTED_VALUE"""),"https://drive.google.com/open?id=1EWD8MmRKgmNou61m8u_ncUbjfSDv7HfM")</f>
        <v>https://drive.google.com/open?id=1EWD8MmRKgmNou61m8u_ncUbjfSDv7HfM</v>
      </c>
      <c r="K38" s="37">
        <v>3500</v>
      </c>
      <c r="L38" s="57" t="s">
        <v>98</v>
      </c>
      <c r="M38" s="57" t="s">
        <v>101</v>
      </c>
      <c r="N38" s="37" t="s">
        <v>104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22.5" customHeight="1" x14ac:dyDescent="0.25">
      <c r="A39" s="29">
        <f ca="1">IFERROR(__xludf.DUMMYFUNCTION("""COMPUTED_VALUE"""),46246.4108664583)</f>
        <v>46246.410866458296</v>
      </c>
      <c r="B39" s="11" t="str">
        <f ca="1">IFERROR(__xludf.DUMMYFUNCTION("""COMPUTED_VALUE"""),"vu3f2526004@pvppcoe.ac.in")</f>
        <v>vu3f2526004@pvppcoe.ac.in</v>
      </c>
      <c r="C39" s="11" t="str">
        <f ca="1">IFERROR(__xludf.DUMMYFUNCTION("""COMPUTED_VALUE"""),"VU3F2526004")</f>
        <v>VU3F2526004</v>
      </c>
      <c r="D39" s="11" t="str">
        <f ca="1">IFERROR(__xludf.DUMMYFUNCTION("""COMPUTED_VALUE"""),"vu3f2526004@pvppcoe.ac.in")</f>
        <v>vu3f2526004@pvppcoe.ac.in</v>
      </c>
      <c r="E39" s="11" t="str">
        <f ca="1">IFERROR(__xludf.DUMMYFUNCTION("""COMPUTED_VALUE"""),"Mishra karan Amritlesh")</f>
        <v>Mishra karan Amritlesh</v>
      </c>
      <c r="F39" s="11">
        <f ca="1">IFERROR(__xludf.DUMMYFUNCTION("""COMPUTED_VALUE"""),8604538806)</f>
        <v>8604538806</v>
      </c>
      <c r="G39" s="11" t="str">
        <f ca="1">IFERROR(__xludf.DUMMYFUNCTION("""COMPUTED_VALUE"""),"Second Year (Graduation Year of Passing:- 2029)")</f>
        <v>Second Year (Graduation Year of Passing:- 2029)</v>
      </c>
      <c r="H39" s="34" t="str">
        <f ca="1">IFERROR(__xludf.DUMMYFUNCTION("""COMPUTED_VALUE"""),"ECS")</f>
        <v>ECS</v>
      </c>
      <c r="I39" s="11" t="str">
        <f ca="1">IFERROR(__xludf.DUMMYFUNCTION("""COMPUTED_VALUE"""),"Complete C2C (Aptitude + Soft Skills + Technical) training - Rs 3500/-")</f>
        <v>Complete C2C (Aptitude + Soft Skills + Technical) training - Rs 3500/-</v>
      </c>
      <c r="J39" s="35" t="str">
        <f ca="1">IFERROR(__xludf.DUMMYFUNCTION("""COMPUTED_VALUE"""),"https://drive.google.com/open?id=1hgSOZGxTpBoCutPIqkWcz3JB-Bs13pDC")</f>
        <v>https://drive.google.com/open?id=1hgSOZGxTpBoCutPIqkWcz3JB-Bs13pDC</v>
      </c>
      <c r="K39" s="61">
        <v>3500</v>
      </c>
      <c r="L39" s="62" t="s">
        <v>98</v>
      </c>
      <c r="M39" s="62" t="s">
        <v>101</v>
      </c>
      <c r="N39" s="37" t="s">
        <v>104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22.5" customHeight="1" x14ac:dyDescent="0.25">
      <c r="A40" s="29">
        <f ca="1">IFERROR(__xludf.DUMMYFUNCTION("""COMPUTED_VALUE"""),46245.9462906713)</f>
        <v>46245.946290671302</v>
      </c>
      <c r="B40" s="11" t="str">
        <f ca="1">IFERROR(__xludf.DUMMYFUNCTION("""COMPUTED_VALUE"""),"vu1f2526125@pvppcoe.ac.in")</f>
        <v>vu1f2526125@pvppcoe.ac.in</v>
      </c>
      <c r="C40" s="11" t="str">
        <f ca="1">IFERROR(__xludf.DUMMYFUNCTION("""COMPUTED_VALUE"""),"VU1F2526125")</f>
        <v>VU1F2526125</v>
      </c>
      <c r="D40" s="11" t="str">
        <f ca="1">IFERROR(__xludf.DUMMYFUNCTION("""COMPUTED_VALUE"""),"vu1f2526125@pvppcoe.ac.in")</f>
        <v>vu1f2526125@pvppcoe.ac.in</v>
      </c>
      <c r="E40" s="11" t="str">
        <f ca="1">IFERROR(__xludf.DUMMYFUNCTION("""COMPUTED_VALUE"""),"Walnekar Atharva ")</f>
        <v xml:space="preserve">Walnekar Atharva </v>
      </c>
      <c r="F40" s="11">
        <f ca="1">IFERROR(__xludf.DUMMYFUNCTION("""COMPUTED_VALUE"""),8879923414)</f>
        <v>8879923414</v>
      </c>
      <c r="G40" s="11" t="str">
        <f ca="1">IFERROR(__xludf.DUMMYFUNCTION("""COMPUTED_VALUE"""),"Second Year (Graduation Year of Passing:- 2029)")</f>
        <v>Second Year (Graduation Year of Passing:- 2029)</v>
      </c>
      <c r="H40" s="34" t="str">
        <f ca="1">IFERROR(__xludf.DUMMYFUNCTION("""COMPUTED_VALUE"""),"CS")</f>
        <v>CS</v>
      </c>
      <c r="I40" s="11" t="str">
        <f ca="1">IFERROR(__xludf.DUMMYFUNCTION("""COMPUTED_VALUE"""),"Complete C2C (Aptitude + Soft Skills + Technical) training - Rs 3500/-")</f>
        <v>Complete C2C (Aptitude + Soft Skills + Technical) training - Rs 3500/-</v>
      </c>
      <c r="J40" s="35" t="str">
        <f ca="1">IFERROR(__xludf.DUMMYFUNCTION("""COMPUTED_VALUE"""),"https://drive.google.com/open?id=1oTzl6ykcTzlUGL1bhyDlEJotZ9CLVbTU")</f>
        <v>https://drive.google.com/open?id=1oTzl6ykcTzlUGL1bhyDlEJotZ9CLVbTU</v>
      </c>
      <c r="K40" s="37">
        <v>3500</v>
      </c>
      <c r="L40" s="57" t="s">
        <v>98</v>
      </c>
      <c r="M40" s="57" t="s">
        <v>101</v>
      </c>
      <c r="N40" s="37" t="s">
        <v>104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22.5" customHeight="1" x14ac:dyDescent="0.25">
      <c r="A41" s="29">
        <f ca="1">IFERROR(__xludf.DUMMYFUNCTION("""COMPUTED_VALUE"""),46245.8765149305)</f>
        <v>46245.876514930504</v>
      </c>
      <c r="B41" s="11" t="str">
        <f ca="1">IFERROR(__xludf.DUMMYFUNCTION("""COMPUTED_VALUE"""),"vu3f2526027@pvppcoe.ac.in")</f>
        <v>vu3f2526027@pvppcoe.ac.in</v>
      </c>
      <c r="C41" s="11" t="str">
        <f ca="1">IFERROR(__xludf.DUMMYFUNCTION("""COMPUTED_VALUE"""),"VU3F2526027")</f>
        <v>VU3F2526027</v>
      </c>
      <c r="D41" s="11" t="str">
        <f ca="1">IFERROR(__xludf.DUMMYFUNCTION("""COMPUTED_VALUE"""),"vu3f2526027@pvppcoe.ac.in")</f>
        <v>vu3f2526027@pvppcoe.ac.in</v>
      </c>
      <c r="E41" s="11" t="str">
        <f ca="1">IFERROR(__xludf.DUMMYFUNCTION("""COMPUTED_VALUE"""),"SHARMA UJJAWAL ABHISHEK ")</f>
        <v xml:space="preserve">SHARMA UJJAWAL ABHISHEK </v>
      </c>
      <c r="F41" s="11">
        <f ca="1">IFERROR(__xludf.DUMMYFUNCTION("""COMPUTED_VALUE"""),7004704336)</f>
        <v>7004704336</v>
      </c>
      <c r="G41" s="11" t="str">
        <f ca="1">IFERROR(__xludf.DUMMYFUNCTION("""COMPUTED_VALUE"""),"Second Year (Graduation Year of Passing:- 2029)")</f>
        <v>Second Year (Graduation Year of Passing:- 2029)</v>
      </c>
      <c r="H41" s="34" t="str">
        <f ca="1">IFERROR(__xludf.DUMMYFUNCTION("""COMPUTED_VALUE"""),"ECS")</f>
        <v>ECS</v>
      </c>
      <c r="I41" s="11" t="str">
        <f ca="1">IFERROR(__xludf.DUMMYFUNCTION("""COMPUTED_VALUE"""),"Complete C2C (Aptitude + Soft Skills + Technical) training - Rs 3500/-")</f>
        <v>Complete C2C (Aptitude + Soft Skills + Technical) training - Rs 3500/-</v>
      </c>
      <c r="J41" s="35" t="str">
        <f ca="1">IFERROR(__xludf.DUMMYFUNCTION("""COMPUTED_VALUE"""),"https://drive.google.com/open?id=1YFHh-vmRn_dwWRb_xI1K5mTBYB7CzldW")</f>
        <v>https://drive.google.com/open?id=1YFHh-vmRn_dwWRb_xI1K5mTBYB7CzldW</v>
      </c>
      <c r="K41" s="44">
        <v>3500</v>
      </c>
      <c r="L41" s="45" t="s">
        <v>98</v>
      </c>
      <c r="M41" s="58" t="s">
        <v>101</v>
      </c>
      <c r="N41" s="37" t="s">
        <v>104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22.5" customHeight="1" x14ac:dyDescent="0.25">
      <c r="A42" s="29">
        <f ca="1">IFERROR(__xludf.DUMMYFUNCTION("""COMPUTED_VALUE"""),46245.8741459259)</f>
        <v>46245.874145925904</v>
      </c>
      <c r="B42" s="11" t="str">
        <f ca="1">IFERROR(__xludf.DUMMYFUNCTION("""COMPUTED_VALUE"""),"vu4f2526024@pvppcoe.ac.in")</f>
        <v>vu4f2526024@pvppcoe.ac.in</v>
      </c>
      <c r="C42" s="11" t="str">
        <f ca="1">IFERROR(__xludf.DUMMYFUNCTION("""COMPUTED_VALUE"""),"VU4F2526024")</f>
        <v>VU4F2526024</v>
      </c>
      <c r="D42" s="11" t="str">
        <f ca="1">IFERROR(__xludf.DUMMYFUNCTION("""COMPUTED_VALUE"""),"vu4f2526024@pvppcoe.ac.in")</f>
        <v>vu4f2526024@pvppcoe.ac.in</v>
      </c>
      <c r="E42" s="11" t="str">
        <f ca="1">IFERROR(__xludf.DUMMYFUNCTION("""COMPUTED_VALUE"""),"Rishabh Rajesh Kadam ")</f>
        <v xml:space="preserve">Rishabh Rajesh Kadam </v>
      </c>
      <c r="F42" s="11">
        <f ca="1">IFERROR(__xludf.DUMMYFUNCTION("""COMPUTED_VALUE"""),9370895011)</f>
        <v>9370895011</v>
      </c>
      <c r="G42" s="11" t="str">
        <f ca="1">IFERROR(__xludf.DUMMYFUNCTION("""COMPUTED_VALUE"""),"Second Year (Graduation Year of Passing:- 2029)")</f>
        <v>Second Year (Graduation Year of Passing:- 2029)</v>
      </c>
      <c r="H42" s="34" t="str">
        <f ca="1">IFERROR(__xludf.DUMMYFUNCTION("""COMPUTED_VALUE"""),"IT")</f>
        <v>IT</v>
      </c>
      <c r="I42" s="11" t="str">
        <f ca="1">IFERROR(__xludf.DUMMYFUNCTION("""COMPUTED_VALUE"""),"Complete C2C (Aptitude + Soft Skills + Technical) training - Rs 3500/-")</f>
        <v>Complete C2C (Aptitude + Soft Skills + Technical) training - Rs 3500/-</v>
      </c>
      <c r="J42" s="35" t="str">
        <f ca="1">IFERROR(__xludf.DUMMYFUNCTION("""COMPUTED_VALUE"""),"https://drive.google.com/open?id=1yAFnaky1tjehKj71iyOpnqGZoT5sLupC")</f>
        <v>https://drive.google.com/open?id=1yAFnaky1tjehKj71iyOpnqGZoT5sLupC</v>
      </c>
      <c r="K42" s="37">
        <v>3500</v>
      </c>
      <c r="L42" s="57" t="s">
        <v>98</v>
      </c>
      <c r="M42" s="57" t="s">
        <v>101</v>
      </c>
      <c r="N42" s="37" t="s">
        <v>104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22.5" customHeight="1" x14ac:dyDescent="0.25">
      <c r="A43" s="29">
        <f ca="1">IFERROR(__xludf.DUMMYFUNCTION("""COMPUTED_VALUE"""),46245.8693450115)</f>
        <v>46245.869345011502</v>
      </c>
      <c r="B43" s="11" t="str">
        <f ca="1">IFERROR(__xludf.DUMMYFUNCTION("""COMPUTED_VALUE"""),"vu2f2526073@pvppcoe.ac.in")</f>
        <v>vu2f2526073@pvppcoe.ac.in</v>
      </c>
      <c r="C43" s="11" t="str">
        <f ca="1">IFERROR(__xludf.DUMMYFUNCTION("""COMPUTED_VALUE"""),"VU2F2526073")</f>
        <v>VU2F2526073</v>
      </c>
      <c r="D43" s="11" t="str">
        <f ca="1">IFERROR(__xludf.DUMMYFUNCTION("""COMPUTED_VALUE"""),"vu2f2526073@pvppcoe.ac.in")</f>
        <v>vu2f2526073@pvppcoe.ac.in</v>
      </c>
      <c r="E43" s="11" t="str">
        <f ca="1">IFERROR(__xludf.DUMMYFUNCTION("""COMPUTED_VALUE"""),"Gaitonde Aarav Jitesh")</f>
        <v>Gaitonde Aarav Jitesh</v>
      </c>
      <c r="F43" s="11">
        <f ca="1">IFERROR(__xludf.DUMMYFUNCTION("""COMPUTED_VALUE"""),9867633068)</f>
        <v>9867633068</v>
      </c>
      <c r="G43" s="11" t="str">
        <f ca="1">IFERROR(__xludf.DUMMYFUNCTION("""COMPUTED_VALUE"""),"Second Year (Graduation Year of Passing:- 2029)")</f>
        <v>Second Year (Graduation Year of Passing:- 2029)</v>
      </c>
      <c r="H43" s="34" t="str">
        <f ca="1">IFERROR(__xludf.DUMMYFUNCTION("""COMPUTED_VALUE"""),"AI &amp; ML")</f>
        <v>AI &amp; ML</v>
      </c>
      <c r="I43" s="11" t="str">
        <f ca="1">IFERROR(__xludf.DUMMYFUNCTION("""COMPUTED_VALUE"""),"Complete C2C (Aptitude + Soft Skills + Technical) training - Rs 3500/-")</f>
        <v>Complete C2C (Aptitude + Soft Skills + Technical) training - Rs 3500/-</v>
      </c>
      <c r="J43" s="35" t="str">
        <f ca="1">IFERROR(__xludf.DUMMYFUNCTION("""COMPUTED_VALUE"""),"https://drive.google.com/open?id=1saQp3JyvxC1Q7rlXsfCE7tHD0PzgTZxb")</f>
        <v>https://drive.google.com/open?id=1saQp3JyvxC1Q7rlXsfCE7tHD0PzgTZxb</v>
      </c>
      <c r="K43" s="44">
        <v>3500</v>
      </c>
      <c r="L43" s="58" t="s">
        <v>98</v>
      </c>
      <c r="M43" s="58" t="s">
        <v>101</v>
      </c>
      <c r="N43" s="37" t="s">
        <v>104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22.5" customHeight="1" x14ac:dyDescent="0.25">
      <c r="A44" s="29">
        <f ca="1">IFERROR(__xludf.DUMMYFUNCTION("""COMPUTED_VALUE"""),46245.8403207754)</f>
        <v>46245.840320775402</v>
      </c>
      <c r="B44" s="11" t="str">
        <f ca="1">IFERROR(__xludf.DUMMYFUNCTION("""COMPUTED_VALUE"""),"vu3f2526056@pvppcoe.ac.in")</f>
        <v>vu3f2526056@pvppcoe.ac.in</v>
      </c>
      <c r="C44" s="11" t="str">
        <f ca="1">IFERROR(__xludf.DUMMYFUNCTION("""COMPUTED_VALUE"""),"VU3F2526056")</f>
        <v>VU3F2526056</v>
      </c>
      <c r="D44" s="11" t="str">
        <f ca="1">IFERROR(__xludf.DUMMYFUNCTION("""COMPUTED_VALUE"""),"vu3f2526056@pvppcoe.ac.in")</f>
        <v>vu3f2526056@pvppcoe.ac.in</v>
      </c>
      <c r="E44" s="11" t="str">
        <f ca="1">IFERROR(__xludf.DUMMYFUNCTION("""COMPUTED_VALUE"""),"Hotkar Chetan Mallikarjun ")</f>
        <v xml:space="preserve">Hotkar Chetan Mallikarjun </v>
      </c>
      <c r="F44" s="11">
        <f ca="1">IFERROR(__xludf.DUMMYFUNCTION("""COMPUTED_VALUE"""),7900042274)</f>
        <v>7900042274</v>
      </c>
      <c r="G44" s="11" t="str">
        <f ca="1">IFERROR(__xludf.DUMMYFUNCTION("""COMPUTED_VALUE"""),"Second Year (Graduation Year of Passing:- 2029)")</f>
        <v>Second Year (Graduation Year of Passing:- 2029)</v>
      </c>
      <c r="H44" s="34" t="str">
        <f ca="1">IFERROR(__xludf.DUMMYFUNCTION("""COMPUTED_VALUE"""),"CS")</f>
        <v>CS</v>
      </c>
      <c r="I44" s="11" t="str">
        <f ca="1">IFERROR(__xludf.DUMMYFUNCTION("""COMPUTED_VALUE"""),"Complete C2C (Aptitude + Soft Skills + Technical) training - Rs 3500/-")</f>
        <v>Complete C2C (Aptitude + Soft Skills + Technical) training - Rs 3500/-</v>
      </c>
      <c r="J44" s="35" t="str">
        <f ca="1">IFERROR(__xludf.DUMMYFUNCTION("""COMPUTED_VALUE"""),"https://drive.google.com/open?id=1KQyoZN9WmqLB9bQULAD977hce13VMGmi")</f>
        <v>https://drive.google.com/open?id=1KQyoZN9WmqLB9bQULAD977hce13VMGmi</v>
      </c>
      <c r="K44" s="37">
        <v>3500</v>
      </c>
      <c r="L44" s="57" t="s">
        <v>98</v>
      </c>
      <c r="M44" s="57" t="s">
        <v>101</v>
      </c>
      <c r="N44" s="37" t="s">
        <v>104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22.5" customHeight="1" x14ac:dyDescent="0.25">
      <c r="A45" s="29">
        <f ca="1">IFERROR(__xludf.DUMMYFUNCTION("""COMPUTED_VALUE"""),46245.8388835648)</f>
        <v>46245.8388835648</v>
      </c>
      <c r="B45" s="11" t="str">
        <f ca="1">IFERROR(__xludf.DUMMYFUNCTION("""COMPUTED_VALUE"""),"vu1f2526096@pvppcoe.ac.in")</f>
        <v>vu1f2526096@pvppcoe.ac.in</v>
      </c>
      <c r="C45" s="11" t="str">
        <f ca="1">IFERROR(__xludf.DUMMYFUNCTION("""COMPUTED_VALUE"""),"VU1F2526096")</f>
        <v>VU1F2526096</v>
      </c>
      <c r="D45" s="11" t="str">
        <f ca="1">IFERROR(__xludf.DUMMYFUNCTION("""COMPUTED_VALUE"""),"atith2007@gmail.com")</f>
        <v>atith2007@gmail.com</v>
      </c>
      <c r="E45" s="11" t="str">
        <f ca="1">IFERROR(__xludf.DUMMYFUNCTION("""COMPUTED_VALUE"""),"Gupta Atith anirudh ")</f>
        <v xml:space="preserve">Gupta Atith anirudh </v>
      </c>
      <c r="F45" s="11">
        <f ca="1">IFERROR(__xludf.DUMMYFUNCTION("""COMPUTED_VALUE"""),9819340045)</f>
        <v>9819340045</v>
      </c>
      <c r="G45" s="11" t="str">
        <f ca="1">IFERROR(__xludf.DUMMYFUNCTION("""COMPUTED_VALUE"""),"Second Year (Graduation Year of Passing:- 2029)")</f>
        <v>Second Year (Graduation Year of Passing:- 2029)</v>
      </c>
      <c r="H45" s="34" t="str">
        <f ca="1">IFERROR(__xludf.DUMMYFUNCTION("""COMPUTED_VALUE"""),"CS")</f>
        <v>CS</v>
      </c>
      <c r="I45" s="11" t="str">
        <f ca="1">IFERROR(__xludf.DUMMYFUNCTION("""COMPUTED_VALUE"""),"Complete C2C (Aptitude + Soft Skills + Technical) training - Rs 3500/-")</f>
        <v>Complete C2C (Aptitude + Soft Skills + Technical) training - Rs 3500/-</v>
      </c>
      <c r="J45" s="35" t="str">
        <f ca="1">IFERROR(__xludf.DUMMYFUNCTION("""COMPUTED_VALUE"""),"https://drive.google.com/open?id=1P1rg6dBtOrhjmuc4eKqpkXZazyNwj9iv")</f>
        <v>https://drive.google.com/open?id=1P1rg6dBtOrhjmuc4eKqpkXZazyNwj9iv</v>
      </c>
      <c r="K45" s="44">
        <v>3500</v>
      </c>
      <c r="L45" s="58" t="s">
        <v>98</v>
      </c>
      <c r="M45" s="57" t="s">
        <v>101</v>
      </c>
      <c r="N45" s="37" t="s">
        <v>104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22.5" customHeight="1" x14ac:dyDescent="0.25">
      <c r="A46" s="29">
        <f ca="1">IFERROR(__xludf.DUMMYFUNCTION("""COMPUTED_VALUE"""),46245.8194798958)</f>
        <v>46245.819479895799</v>
      </c>
      <c r="B46" s="11" t="str">
        <f ca="1">IFERROR(__xludf.DUMMYFUNCTION("""COMPUTED_VALUE"""),"vu2f2526053@pvppcoe.ac.in")</f>
        <v>vu2f2526053@pvppcoe.ac.in</v>
      </c>
      <c r="C46" s="11" t="str">
        <f ca="1">IFERROR(__xludf.DUMMYFUNCTION("""COMPUTED_VALUE"""),"VU2F2526053")</f>
        <v>VU2F2526053</v>
      </c>
      <c r="D46" s="11" t="str">
        <f ca="1">IFERROR(__xludf.DUMMYFUNCTION("""COMPUTED_VALUE"""),"vu2f2526053@pvppcoe.ac.in")</f>
        <v>vu2f2526053@pvppcoe.ac.in</v>
      </c>
      <c r="E46" s="11" t="str">
        <f ca="1">IFERROR(__xludf.DUMMYFUNCTION("""COMPUTED_VALUE"""),"Kadrekar Vedant Nilesh")</f>
        <v>Kadrekar Vedant Nilesh</v>
      </c>
      <c r="F46" s="11">
        <f ca="1">IFERROR(__xludf.DUMMYFUNCTION("""COMPUTED_VALUE"""),8369358270)</f>
        <v>8369358270</v>
      </c>
      <c r="G46" s="11" t="str">
        <f ca="1">IFERROR(__xludf.DUMMYFUNCTION("""COMPUTED_VALUE"""),"Second Year (Graduation Year of Passing:- 2029)")</f>
        <v>Second Year (Graduation Year of Passing:- 2029)</v>
      </c>
      <c r="H46" s="34" t="str">
        <f ca="1">IFERROR(__xludf.DUMMYFUNCTION("""COMPUTED_VALUE"""),"AI &amp; ML")</f>
        <v>AI &amp; ML</v>
      </c>
      <c r="I46" s="11" t="str">
        <f ca="1">IFERROR(__xludf.DUMMYFUNCTION("""COMPUTED_VALUE"""),"Complete C2C (Aptitude + Soft Skills + Technical) training - Rs 3500/-")</f>
        <v>Complete C2C (Aptitude + Soft Skills + Technical) training - Rs 3500/-</v>
      </c>
      <c r="J46" s="35" t="str">
        <f ca="1">IFERROR(__xludf.DUMMYFUNCTION("""COMPUTED_VALUE"""),"https://drive.google.com/open?id=168hu_5Mu-Ge134Gpn-sZTAJqFKPaL0Vl")</f>
        <v>https://drive.google.com/open?id=168hu_5Mu-Ge134Gpn-sZTAJqFKPaL0Vl</v>
      </c>
      <c r="K46" s="37">
        <v>3500</v>
      </c>
      <c r="L46" s="57" t="s">
        <v>98</v>
      </c>
      <c r="M46" s="57" t="s">
        <v>101</v>
      </c>
      <c r="N46" s="37" t="s">
        <v>104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22.5" customHeight="1" x14ac:dyDescent="0.25">
      <c r="A47" s="29">
        <f ca="1">IFERROR(__xludf.DUMMYFUNCTION("""COMPUTED_VALUE"""),46245.6544428703)</f>
        <v>46245.654442870298</v>
      </c>
      <c r="B47" s="11" t="str">
        <f ca="1">IFERROR(__xludf.DUMMYFUNCTION("""COMPUTED_VALUE"""),"vu3f2526018@pvppcoe.ac.in")</f>
        <v>vu3f2526018@pvppcoe.ac.in</v>
      </c>
      <c r="C47" s="11" t="str">
        <f ca="1">IFERROR(__xludf.DUMMYFUNCTION("""COMPUTED_VALUE"""),"VU3F2526018")</f>
        <v>VU3F2526018</v>
      </c>
      <c r="D47" s="11" t="str">
        <f ca="1">IFERROR(__xludf.DUMMYFUNCTION("""COMPUTED_VALUE"""),"vu3f2526018@pvppcoe.ac.in")</f>
        <v>vu3f2526018@pvppcoe.ac.in</v>
      </c>
      <c r="E47" s="11" t="str">
        <f ca="1">IFERROR(__xludf.DUMMYFUNCTION("""COMPUTED_VALUE"""),"Ghadigaonkar Amogh Santosh ")</f>
        <v xml:space="preserve">Ghadigaonkar Amogh Santosh </v>
      </c>
      <c r="F47" s="11">
        <f ca="1">IFERROR(__xludf.DUMMYFUNCTION("""COMPUTED_VALUE"""),9076440709)</f>
        <v>9076440709</v>
      </c>
      <c r="G47" s="11" t="str">
        <f ca="1">IFERROR(__xludf.DUMMYFUNCTION("""COMPUTED_VALUE"""),"Second Year (Graduation Year of Passing:- 2029)")</f>
        <v>Second Year (Graduation Year of Passing:- 2029)</v>
      </c>
      <c r="H47" s="34" t="str">
        <f ca="1">IFERROR(__xludf.DUMMYFUNCTION("""COMPUTED_VALUE"""),"ECS")</f>
        <v>ECS</v>
      </c>
      <c r="I47" s="11" t="str">
        <f ca="1">IFERROR(__xludf.DUMMYFUNCTION("""COMPUTED_VALUE"""),"Complete C2C (Aptitude + Soft Skills + Technical) training - Rs 3500/-")</f>
        <v>Complete C2C (Aptitude + Soft Skills + Technical) training - Rs 3500/-</v>
      </c>
      <c r="J47" s="35" t="str">
        <f ca="1">IFERROR(__xludf.DUMMYFUNCTION("""COMPUTED_VALUE"""),"https://drive.google.com/open?id=1IPP0Irvza3IZBIKDL8hTLppj_XX-eFaf")</f>
        <v>https://drive.google.com/open?id=1IPP0Irvza3IZBIKDL8hTLppj_XX-eFaf</v>
      </c>
      <c r="K47" s="44">
        <v>3500</v>
      </c>
      <c r="L47" s="64" t="s">
        <v>98</v>
      </c>
      <c r="M47" s="57" t="s">
        <v>101</v>
      </c>
      <c r="N47" s="37" t="s">
        <v>104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22.5" customHeight="1" x14ac:dyDescent="0.25">
      <c r="A48" s="29">
        <f ca="1">IFERROR(__xludf.DUMMYFUNCTION("""COMPUTED_VALUE"""),46245.6058894444)</f>
        <v>46245.6058894444</v>
      </c>
      <c r="B48" s="11" t="str">
        <f ca="1">IFERROR(__xludf.DUMMYFUNCTION("""COMPUTED_VALUE"""),"vu1f2526009@pvppcoe.ac.in")</f>
        <v>vu1f2526009@pvppcoe.ac.in</v>
      </c>
      <c r="C48" s="11" t="str">
        <f ca="1">IFERROR(__xludf.DUMMYFUNCTION("""COMPUTED_VALUE"""),"VU1F2526009")</f>
        <v>VU1F2526009</v>
      </c>
      <c r="D48" s="11" t="str">
        <f ca="1">IFERROR(__xludf.DUMMYFUNCTION("""COMPUTED_VALUE"""),"vu1f2526009@pvppcoe.ac.in")</f>
        <v>vu1f2526009@pvppcoe.ac.in</v>
      </c>
      <c r="E48" s="11" t="str">
        <f ca="1">IFERROR(__xludf.DUMMYFUNCTION("""COMPUTED_VALUE"""),"MANDAOKAR ANGEL MANISH")</f>
        <v>MANDAOKAR ANGEL MANISH</v>
      </c>
      <c r="F48" s="11">
        <f ca="1">IFERROR(__xludf.DUMMYFUNCTION("""COMPUTED_VALUE"""),9321683863)</f>
        <v>9321683863</v>
      </c>
      <c r="G48" s="11" t="str">
        <f ca="1">IFERROR(__xludf.DUMMYFUNCTION("""COMPUTED_VALUE"""),"Second Year (Graduation Year of Passing:- 2029)")</f>
        <v>Second Year (Graduation Year of Passing:- 2029)</v>
      </c>
      <c r="H48" s="34" t="str">
        <f ca="1">IFERROR(__xludf.DUMMYFUNCTION("""COMPUTED_VALUE"""),"CS")</f>
        <v>CS</v>
      </c>
      <c r="I48" s="11" t="str">
        <f ca="1">IFERROR(__xludf.DUMMYFUNCTION("""COMPUTED_VALUE"""),"Complete C2C (Aptitude + Soft Skills + Technical) training - Rs 3500/-")</f>
        <v>Complete C2C (Aptitude + Soft Skills + Technical) training - Rs 3500/-</v>
      </c>
      <c r="J48" s="35" t="str">
        <f ca="1">IFERROR(__xludf.DUMMYFUNCTION("""COMPUTED_VALUE"""),"https://drive.google.com/open?id=1mZJmge5hiILZbIZtpxkou9xgepHB8hRc")</f>
        <v>https://drive.google.com/open?id=1mZJmge5hiILZbIZtpxkou9xgepHB8hRc</v>
      </c>
      <c r="K48" s="37">
        <v>3500</v>
      </c>
      <c r="L48" s="65" t="s">
        <v>98</v>
      </c>
      <c r="M48" s="57" t="s">
        <v>101</v>
      </c>
      <c r="N48" s="37" t="s">
        <v>104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22.5" customHeight="1" x14ac:dyDescent="0.25">
      <c r="A49" s="29">
        <f ca="1">IFERROR(__xludf.DUMMYFUNCTION("""COMPUTED_VALUE"""),46245.501895243)</f>
        <v>46245.501895242996</v>
      </c>
      <c r="B49" s="11" t="str">
        <f ca="1">IFERROR(__xludf.DUMMYFUNCTION("""COMPUTED_VALUE"""),"vu1f2526027@pvppcoe.ac.in")</f>
        <v>vu1f2526027@pvppcoe.ac.in</v>
      </c>
      <c r="C49" s="11" t="str">
        <f ca="1">IFERROR(__xludf.DUMMYFUNCTION("""COMPUTED_VALUE"""),"VU1F2526027")</f>
        <v>VU1F2526027</v>
      </c>
      <c r="D49" s="11" t="str">
        <f ca="1">IFERROR(__xludf.DUMMYFUNCTION("""COMPUTED_VALUE"""),"vu1f2526027@pvppcoe.ac.in")</f>
        <v>vu1f2526027@pvppcoe.ac.in</v>
      </c>
      <c r="E49" s="11" t="str">
        <f ca="1">IFERROR(__xludf.DUMMYFUNCTION("""COMPUTED_VALUE"""),"Bhilare Prathamesh Ramesh ")</f>
        <v xml:space="preserve">Bhilare Prathamesh Ramesh </v>
      </c>
      <c r="F49" s="11">
        <f ca="1">IFERROR(__xludf.DUMMYFUNCTION("""COMPUTED_VALUE"""),8976246676)</f>
        <v>8976246676</v>
      </c>
      <c r="G49" s="11" t="str">
        <f ca="1">IFERROR(__xludf.DUMMYFUNCTION("""COMPUTED_VALUE"""),"Second Year (Graduation Year of Passing:- 2029)")</f>
        <v>Second Year (Graduation Year of Passing:- 2029)</v>
      </c>
      <c r="H49" s="34" t="str">
        <f ca="1">IFERROR(__xludf.DUMMYFUNCTION("""COMPUTED_VALUE"""),"CS")</f>
        <v>CS</v>
      </c>
      <c r="I49" s="11" t="str">
        <f ca="1">IFERROR(__xludf.DUMMYFUNCTION("""COMPUTED_VALUE"""),"Complete C2C (Aptitude + Soft Skills + Technical) training - Rs 3500/-")</f>
        <v>Complete C2C (Aptitude + Soft Skills + Technical) training - Rs 3500/-</v>
      </c>
      <c r="J49" s="35" t="str">
        <f ca="1">IFERROR(__xludf.DUMMYFUNCTION("""COMPUTED_VALUE"""),"https://drive.google.com/open?id=1AfSfaPNFC5UnMJuz1rgd_kHlFnbes1TL")</f>
        <v>https://drive.google.com/open?id=1AfSfaPNFC5UnMJuz1rgd_kHlFnbes1TL</v>
      </c>
      <c r="K49" s="61">
        <v>3500</v>
      </c>
      <c r="L49" s="66" t="s">
        <v>98</v>
      </c>
      <c r="M49" s="62" t="s">
        <v>101</v>
      </c>
      <c r="N49" s="37" t="s">
        <v>104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22.5" customHeight="1" x14ac:dyDescent="0.25">
      <c r="A50" s="29">
        <f ca="1">IFERROR(__xludf.DUMMYFUNCTION("""COMPUTED_VALUE"""),46245.4664669791)</f>
        <v>46245.466466979102</v>
      </c>
      <c r="B50" s="11" t="str">
        <f ca="1">IFERROR(__xludf.DUMMYFUNCTION("""COMPUTED_VALUE"""),"vu3f2526003@pvppcoe.ac.in")</f>
        <v>vu3f2526003@pvppcoe.ac.in</v>
      </c>
      <c r="C50" s="11" t="str">
        <f ca="1">IFERROR(__xludf.DUMMYFUNCTION("""COMPUTED_VALUE"""),"VU3F2526003")</f>
        <v>VU3F2526003</v>
      </c>
      <c r="D50" s="11" t="str">
        <f ca="1">IFERROR(__xludf.DUMMYFUNCTION("""COMPUTED_VALUE"""),"vu3f2526003@pvppcoe.ac.in")</f>
        <v>vu3f2526003@pvppcoe.ac.in</v>
      </c>
      <c r="E50" s="11" t="str">
        <f ca="1">IFERROR(__xludf.DUMMYFUNCTION("""COMPUTED_VALUE"""),"Burungale Raj Shivaji ")</f>
        <v xml:space="preserve">Burungale Raj Shivaji </v>
      </c>
      <c r="F50" s="11">
        <f ca="1">IFERROR(__xludf.DUMMYFUNCTION("""COMPUTED_VALUE"""),7276952151)</f>
        <v>7276952151</v>
      </c>
      <c r="G50" s="11" t="str">
        <f ca="1">IFERROR(__xludf.DUMMYFUNCTION("""COMPUTED_VALUE"""),"Second Year (Graduation Year of Passing:- 2029)")</f>
        <v>Second Year (Graduation Year of Passing:- 2029)</v>
      </c>
      <c r="H50" s="34" t="str">
        <f ca="1">IFERROR(__xludf.DUMMYFUNCTION("""COMPUTED_VALUE"""),"ECS")</f>
        <v>ECS</v>
      </c>
      <c r="I50" s="11" t="str">
        <f ca="1">IFERROR(__xludf.DUMMYFUNCTION("""COMPUTED_VALUE"""),"Complete C2C (Aptitude + Soft Skills + Technical) training - Rs 3500/-")</f>
        <v>Complete C2C (Aptitude + Soft Skills + Technical) training - Rs 3500/-</v>
      </c>
      <c r="J50" s="35" t="str">
        <f ca="1">IFERROR(__xludf.DUMMYFUNCTION("""COMPUTED_VALUE"""),"https://drive.google.com/open?id=14XVrQa1b5ulL-1GJWYACgzMLINOpgaTZ")</f>
        <v>https://drive.google.com/open?id=14XVrQa1b5ulL-1GJWYACgzMLINOpgaTZ</v>
      </c>
      <c r="K50" s="37">
        <v>3500</v>
      </c>
      <c r="L50" s="65" t="s">
        <v>98</v>
      </c>
      <c r="M50" s="62" t="s">
        <v>101</v>
      </c>
      <c r="N50" s="37" t="s">
        <v>104</v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22.5" customHeight="1" x14ac:dyDescent="0.25">
      <c r="A51" s="29">
        <f ca="1">IFERROR(__xludf.DUMMYFUNCTION("""COMPUTED_VALUE"""),46245.4133644444)</f>
        <v>46245.413364444401</v>
      </c>
      <c r="B51" s="11" t="str">
        <f ca="1">IFERROR(__xludf.DUMMYFUNCTION("""COMPUTED_VALUE"""),"vu1f2526138@pvppcoe.ac.in")</f>
        <v>vu1f2526138@pvppcoe.ac.in</v>
      </c>
      <c r="C51" s="11" t="str">
        <f ca="1">IFERROR(__xludf.DUMMYFUNCTION("""COMPUTED_VALUE"""),"VU1F2526138")</f>
        <v>VU1F2526138</v>
      </c>
      <c r="D51" s="11" t="str">
        <f ca="1">IFERROR(__xludf.DUMMYFUNCTION("""COMPUTED_VALUE"""),"vu1f2526138@pvppcoe.ac.in")</f>
        <v>vu1f2526138@pvppcoe.ac.in</v>
      </c>
      <c r="E51" s="11" t="str">
        <f ca="1">IFERROR(__xludf.DUMMYFUNCTION("""COMPUTED_VALUE"""),"Jadhav Meet Vijay ")</f>
        <v xml:space="preserve">Jadhav Meet Vijay </v>
      </c>
      <c r="F51" s="11">
        <f ca="1">IFERROR(__xludf.DUMMYFUNCTION("""COMPUTED_VALUE"""),8591912972)</f>
        <v>8591912972</v>
      </c>
      <c r="G51" s="11" t="str">
        <f ca="1">IFERROR(__xludf.DUMMYFUNCTION("""COMPUTED_VALUE"""),"Second Year (Graduation Year of Passing:- 2029)")</f>
        <v>Second Year (Graduation Year of Passing:- 2029)</v>
      </c>
      <c r="H51" s="34" t="str">
        <f ca="1">IFERROR(__xludf.DUMMYFUNCTION("""COMPUTED_VALUE"""),"CS")</f>
        <v>CS</v>
      </c>
      <c r="I51" s="11" t="str">
        <f ca="1">IFERROR(__xludf.DUMMYFUNCTION("""COMPUTED_VALUE"""),"Complete C2C (Aptitude + Soft Skills + Technical) training - Rs 3500/-")</f>
        <v>Complete C2C (Aptitude + Soft Skills + Technical) training - Rs 3500/-</v>
      </c>
      <c r="J51" s="35" t="str">
        <f ca="1">IFERROR(__xludf.DUMMYFUNCTION("""COMPUTED_VALUE"""),"https://drive.google.com/open?id=1OmcTq8nkpH6hd__M1k9UEblw50gGBZOO")</f>
        <v>https://drive.google.com/open?id=1OmcTq8nkpH6hd__M1k9UEblw50gGBZOO</v>
      </c>
      <c r="K51" s="44">
        <v>3500</v>
      </c>
      <c r="L51" s="64" t="s">
        <v>98</v>
      </c>
      <c r="M51" s="62" t="s">
        <v>101</v>
      </c>
      <c r="N51" s="37" t="s">
        <v>594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22.5" customHeight="1" x14ac:dyDescent="0.25">
      <c r="A52" s="29">
        <f ca="1">IFERROR(__xludf.DUMMYFUNCTION("""COMPUTED_VALUE"""),46244.9850310763)</f>
        <v>46244.985031076299</v>
      </c>
      <c r="B52" s="11" t="str">
        <f ca="1">IFERROR(__xludf.DUMMYFUNCTION("""COMPUTED_VALUE"""),"vu1f2526104@pvppcoe.ac.in")</f>
        <v>vu1f2526104@pvppcoe.ac.in</v>
      </c>
      <c r="C52" s="11" t="str">
        <f ca="1">IFERROR(__xludf.DUMMYFUNCTION("""COMPUTED_VALUE"""),"VU1F2526104 ")</f>
        <v xml:space="preserve">VU1F2526104 </v>
      </c>
      <c r="D52" s="11" t="str">
        <f ca="1">IFERROR(__xludf.DUMMYFUNCTION("""COMPUTED_VALUE"""),"Vu1f2526104@pvppcoe.ac.in")</f>
        <v>Vu1f2526104@pvppcoe.ac.in</v>
      </c>
      <c r="E52" s="11" t="str">
        <f ca="1">IFERROR(__xludf.DUMMYFUNCTION("""COMPUTED_VALUE"""),"Gaikwad Brahmesh Kiran ")</f>
        <v xml:space="preserve">Gaikwad Brahmesh Kiran </v>
      </c>
      <c r="F52" s="11">
        <f ca="1">IFERROR(__xludf.DUMMYFUNCTION("""COMPUTED_VALUE"""),9082600984)</f>
        <v>9082600984</v>
      </c>
      <c r="G52" s="11" t="str">
        <f ca="1">IFERROR(__xludf.DUMMYFUNCTION("""COMPUTED_VALUE"""),"Second Year (Graduation Year of Passing:- 2029)")</f>
        <v>Second Year (Graduation Year of Passing:- 2029)</v>
      </c>
      <c r="H52" s="34" t="str">
        <f ca="1">IFERROR(__xludf.DUMMYFUNCTION("""COMPUTED_VALUE"""),"CS")</f>
        <v>CS</v>
      </c>
      <c r="I52" s="11" t="str">
        <f ca="1">IFERROR(__xludf.DUMMYFUNCTION("""COMPUTED_VALUE"""),"Complete C2C (Aptitude + Soft Skills + Technical) training - Rs 3500/-")</f>
        <v>Complete C2C (Aptitude + Soft Skills + Technical) training - Rs 3500/-</v>
      </c>
      <c r="J52" s="35" t="str">
        <f ca="1">IFERROR(__xludf.DUMMYFUNCTION("""COMPUTED_VALUE"""),"https://drive.google.com/open?id=1dtnlKl-qaqgClJzXzDAASiKfrFEgNUCu")</f>
        <v>https://drive.google.com/open?id=1dtnlKl-qaqgClJzXzDAASiKfrFEgNUCu</v>
      </c>
      <c r="K52" s="37">
        <v>3500</v>
      </c>
      <c r="L52" s="65" t="s">
        <v>98</v>
      </c>
      <c r="M52" s="62" t="s">
        <v>101</v>
      </c>
      <c r="N52" s="37" t="s">
        <v>104</v>
      </c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22.5" customHeight="1" x14ac:dyDescent="0.25">
      <c r="A53" s="29">
        <f ca="1">IFERROR(__xludf.DUMMYFUNCTION("""COMPUTED_VALUE"""),46244.9258464236)</f>
        <v>46244.925846423597</v>
      </c>
      <c r="B53" s="11" t="str">
        <f ca="1">IFERROR(__xludf.DUMMYFUNCTION("""COMPUTED_VALUE"""),"vu2f2526021@pvppcoe.ac.in")</f>
        <v>vu2f2526021@pvppcoe.ac.in</v>
      </c>
      <c r="C53" s="11" t="str">
        <f ca="1">IFERROR(__xludf.DUMMYFUNCTION("""COMPUTED_VALUE"""),"VU2F2526021 ")</f>
        <v xml:space="preserve">VU2F2526021 </v>
      </c>
      <c r="D53" s="11" t="str">
        <f ca="1">IFERROR(__xludf.DUMMYFUNCTION("""COMPUTED_VALUE"""),"vu2f2526021@pvppcoe.ac.in")</f>
        <v>vu2f2526021@pvppcoe.ac.in</v>
      </c>
      <c r="E53" s="11" t="str">
        <f ca="1">IFERROR(__xludf.DUMMYFUNCTION("""COMPUTED_VALUE"""),"Vibhute Siddhi Sachin ")</f>
        <v xml:space="preserve">Vibhute Siddhi Sachin </v>
      </c>
      <c r="F53" s="11">
        <f ca="1">IFERROR(__xludf.DUMMYFUNCTION("""COMPUTED_VALUE"""),7021472772)</f>
        <v>7021472772</v>
      </c>
      <c r="G53" s="11" t="str">
        <f ca="1">IFERROR(__xludf.DUMMYFUNCTION("""COMPUTED_VALUE"""),"Second Year (Graduation Year of Passing:- 2029)")</f>
        <v>Second Year (Graduation Year of Passing:- 2029)</v>
      </c>
      <c r="H53" s="34" t="str">
        <f ca="1">IFERROR(__xludf.DUMMYFUNCTION("""COMPUTED_VALUE"""),"AI &amp; ML")</f>
        <v>AI &amp; ML</v>
      </c>
      <c r="I53" s="11" t="str">
        <f ca="1">IFERROR(__xludf.DUMMYFUNCTION("""COMPUTED_VALUE"""),"Complete C2C (Aptitude + Soft Skills + Technical) training - Rs 3500/-")</f>
        <v>Complete C2C (Aptitude + Soft Skills + Technical) training - Rs 3500/-</v>
      </c>
      <c r="J53" s="35" t="str">
        <f ca="1">IFERROR(__xludf.DUMMYFUNCTION("""COMPUTED_VALUE"""),"https://drive.google.com/open?id=1MGB5ZNxzAPATFLQ5zRI3S5XnAkisWAsi")</f>
        <v>https://drive.google.com/open?id=1MGB5ZNxzAPATFLQ5zRI3S5XnAkisWAsi</v>
      </c>
      <c r="K53" s="44">
        <v>3500</v>
      </c>
      <c r="L53" s="64" t="s">
        <v>98</v>
      </c>
      <c r="M53" s="58" t="s">
        <v>101</v>
      </c>
      <c r="N53" s="37" t="s">
        <v>104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22.5" customHeight="1" x14ac:dyDescent="0.25">
      <c r="A54" s="29">
        <f ca="1">IFERROR(__xludf.DUMMYFUNCTION("""COMPUTED_VALUE"""),46244.8901215509)</f>
        <v>46244.890121550903</v>
      </c>
      <c r="B54" s="11" t="str">
        <f ca="1">IFERROR(__xludf.DUMMYFUNCTION("""COMPUTED_VALUE"""),"vu4f2526060@pvppcoe.ac.in")</f>
        <v>vu4f2526060@pvppcoe.ac.in</v>
      </c>
      <c r="C54" s="11" t="str">
        <f ca="1">IFERROR(__xludf.DUMMYFUNCTION("""COMPUTED_VALUE"""),"VU4F2526060 ")</f>
        <v xml:space="preserve">VU4F2526060 </v>
      </c>
      <c r="D54" s="11" t="str">
        <f ca="1">IFERROR(__xludf.DUMMYFUNCTION("""COMPUTED_VALUE"""),"VU4F2526060@pvppcoe.ac.in")</f>
        <v>VU4F2526060@pvppcoe.ac.in</v>
      </c>
      <c r="E54" s="11" t="str">
        <f ca="1">IFERROR(__xludf.DUMMYFUNCTION("""COMPUTED_VALUE"""),"PHULPAGAR AVISHKAR RAJENDRA")</f>
        <v>PHULPAGAR AVISHKAR RAJENDRA</v>
      </c>
      <c r="F54" s="11">
        <f ca="1">IFERROR(__xludf.DUMMYFUNCTION("""COMPUTED_VALUE"""),9156680305)</f>
        <v>9156680305</v>
      </c>
      <c r="G54" s="11" t="str">
        <f ca="1">IFERROR(__xludf.DUMMYFUNCTION("""COMPUTED_VALUE"""),"Second Year (Graduation Year of Passing:- 2029)")</f>
        <v>Second Year (Graduation Year of Passing:- 2029)</v>
      </c>
      <c r="H54" s="34" t="str">
        <f ca="1">IFERROR(__xludf.DUMMYFUNCTION("""COMPUTED_VALUE"""),"IT")</f>
        <v>IT</v>
      </c>
      <c r="I54" s="11" t="str">
        <f ca="1">IFERROR(__xludf.DUMMYFUNCTION("""COMPUTED_VALUE"""),"Complete C2C (Aptitude + Soft Skills + Technical) training - Rs 3500/-")</f>
        <v>Complete C2C (Aptitude + Soft Skills + Technical) training - Rs 3500/-</v>
      </c>
      <c r="J54" s="35" t="str">
        <f ca="1">IFERROR(__xludf.DUMMYFUNCTION("""COMPUTED_VALUE"""),"https://drive.google.com/open?id=1yKj6L69oJyY0_kAD5cILzEYenPKsQY0z")</f>
        <v>https://drive.google.com/open?id=1yKj6L69oJyY0_kAD5cILzEYenPKsQY0z</v>
      </c>
      <c r="K54" s="37">
        <v>3500</v>
      </c>
      <c r="L54" s="65" t="s">
        <v>98</v>
      </c>
      <c r="M54" s="58" t="s">
        <v>101</v>
      </c>
      <c r="N54" s="37" t="s">
        <v>104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22.5" customHeight="1" x14ac:dyDescent="0.25">
      <c r="A55" s="29">
        <f ca="1">IFERROR(__xludf.DUMMYFUNCTION("""COMPUTED_VALUE"""),46244.8796080324)</f>
        <v>46244.879608032403</v>
      </c>
      <c r="B55" s="11" t="str">
        <f ca="1">IFERROR(__xludf.DUMMYFUNCTION("""COMPUTED_VALUE"""),"vu4f2526059@pvppcoe.ac.in")</f>
        <v>vu4f2526059@pvppcoe.ac.in</v>
      </c>
      <c r="C55" s="11" t="str">
        <f ca="1">IFERROR(__xludf.DUMMYFUNCTION("""COMPUTED_VALUE"""),"VU4F2526059")</f>
        <v>VU4F2526059</v>
      </c>
      <c r="D55" s="11" t="str">
        <f ca="1">IFERROR(__xludf.DUMMYFUNCTION("""COMPUTED_VALUE"""),"vu4f2526059@pvppcoe.ac.in")</f>
        <v>vu4f2526059@pvppcoe.ac.in</v>
      </c>
      <c r="E55" s="11" t="str">
        <f ca="1">IFERROR(__xludf.DUMMYFUNCTION("""COMPUTED_VALUE"""),"MORE SHUBHAM SUNIL")</f>
        <v>MORE SHUBHAM SUNIL</v>
      </c>
      <c r="F55" s="11">
        <f ca="1">IFERROR(__xludf.DUMMYFUNCTION("""COMPUTED_VALUE"""),8108362135)</f>
        <v>8108362135</v>
      </c>
      <c r="G55" s="11" t="str">
        <f ca="1">IFERROR(__xludf.DUMMYFUNCTION("""COMPUTED_VALUE"""),"Second Year (Graduation Year of Passing:- 2029)")</f>
        <v>Second Year (Graduation Year of Passing:- 2029)</v>
      </c>
      <c r="H55" s="34" t="str">
        <f ca="1">IFERROR(__xludf.DUMMYFUNCTION("""COMPUTED_VALUE"""),"IT")</f>
        <v>IT</v>
      </c>
      <c r="I55" s="11" t="str">
        <f ca="1">IFERROR(__xludf.DUMMYFUNCTION("""COMPUTED_VALUE"""),"Complete C2C (Aptitude + Soft Skills + Technical) training - Rs 3500/-")</f>
        <v>Complete C2C (Aptitude + Soft Skills + Technical) training - Rs 3500/-</v>
      </c>
      <c r="J55" s="35" t="str">
        <f ca="1">IFERROR(__xludf.DUMMYFUNCTION("""COMPUTED_VALUE"""),"https://drive.google.com/open?id=1LG3deDfN-Mz2ITCZ1QEm1g7KRKQT922r")</f>
        <v>https://drive.google.com/open?id=1LG3deDfN-Mz2ITCZ1QEm1g7KRKQT922r</v>
      </c>
      <c r="K55" s="44">
        <v>3500</v>
      </c>
      <c r="L55" s="64" t="s">
        <v>98</v>
      </c>
      <c r="M55" s="58" t="s">
        <v>101</v>
      </c>
      <c r="N55" s="37" t="s">
        <v>104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22.5" customHeight="1" x14ac:dyDescent="0.25">
      <c r="A56" s="29">
        <f ca="1">IFERROR(__xludf.DUMMYFUNCTION("""COMPUTED_VALUE"""),46244.8661223379)</f>
        <v>46244.866122337902</v>
      </c>
      <c r="B56" s="11" t="str">
        <f ca="1">IFERROR(__xludf.DUMMYFUNCTION("""COMPUTED_VALUE"""),"vu1f2526100@pvppcoe.ac.in")</f>
        <v>vu1f2526100@pvppcoe.ac.in</v>
      </c>
      <c r="C56" s="11" t="str">
        <f ca="1">IFERROR(__xludf.DUMMYFUNCTION("""COMPUTED_VALUE"""),"VU1F2526100")</f>
        <v>VU1F2526100</v>
      </c>
      <c r="D56" s="11" t="str">
        <f ca="1">IFERROR(__xludf.DUMMYFUNCTION("""COMPUTED_VALUE"""),"vu1f2526100@pvppcoe.ac.in")</f>
        <v>vu1f2526100@pvppcoe.ac.in</v>
      </c>
      <c r="E56" s="11" t="str">
        <f ca="1">IFERROR(__xludf.DUMMYFUNCTION("""COMPUTED_VALUE"""),"Dethe Sarthak Vishwas")</f>
        <v>Dethe Sarthak Vishwas</v>
      </c>
      <c r="F56" s="11">
        <f ca="1">IFERROR(__xludf.DUMMYFUNCTION("""COMPUTED_VALUE"""),9325937071)</f>
        <v>9325937071</v>
      </c>
      <c r="G56" s="11" t="str">
        <f ca="1">IFERROR(__xludf.DUMMYFUNCTION("""COMPUTED_VALUE"""),"Second Year (Graduation Year of Passing:- 2029)")</f>
        <v>Second Year (Graduation Year of Passing:- 2029)</v>
      </c>
      <c r="H56" s="34" t="str">
        <f ca="1">IFERROR(__xludf.DUMMYFUNCTION("""COMPUTED_VALUE"""),"CS")</f>
        <v>CS</v>
      </c>
      <c r="I56" s="11" t="str">
        <f ca="1">IFERROR(__xludf.DUMMYFUNCTION("""COMPUTED_VALUE"""),"Complete C2C (Aptitude + Soft Skills + Technical) training - Rs 3500/-")</f>
        <v>Complete C2C (Aptitude + Soft Skills + Technical) training - Rs 3500/-</v>
      </c>
      <c r="J56" s="35" t="str">
        <f ca="1">IFERROR(__xludf.DUMMYFUNCTION("""COMPUTED_VALUE"""),"https://drive.google.com/open?id=1JVwgQzEi1KMDwkJBSkEhVg0cvbpoh2aA")</f>
        <v>https://drive.google.com/open?id=1JVwgQzEi1KMDwkJBSkEhVg0cvbpoh2aA</v>
      </c>
      <c r="K56" s="37">
        <v>3500</v>
      </c>
      <c r="L56" s="65" t="s">
        <v>98</v>
      </c>
      <c r="M56" s="58" t="s">
        <v>101</v>
      </c>
      <c r="N56" s="37" t="s">
        <v>104</v>
      </c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22.5" customHeight="1" x14ac:dyDescent="0.25">
      <c r="A57" s="29">
        <f ca="1">IFERROR(__xludf.DUMMYFUNCTION("""COMPUTED_VALUE"""),46244.8546550347)</f>
        <v>46244.854655034702</v>
      </c>
      <c r="B57" s="11" t="str">
        <f ca="1">IFERROR(__xludf.DUMMYFUNCTION("""COMPUTED_VALUE"""),"vu3f2526020@pvppcoe.ac.in")</f>
        <v>vu3f2526020@pvppcoe.ac.in</v>
      </c>
      <c r="C57" s="11" t="str">
        <f ca="1">IFERROR(__xludf.DUMMYFUNCTION("""COMPUTED_VALUE"""),"VU3F2526020")</f>
        <v>VU3F2526020</v>
      </c>
      <c r="D57" s="11" t="str">
        <f ca="1">IFERROR(__xludf.DUMMYFUNCTION("""COMPUTED_VALUE"""),"vu3f2526020@pvppcoe.ac.in")</f>
        <v>vu3f2526020@pvppcoe.ac.in</v>
      </c>
      <c r="E57" s="11" t="str">
        <f ca="1">IFERROR(__xludf.DUMMYFUNCTION("""COMPUTED_VALUE"""),"Viraj Munde")</f>
        <v>Viraj Munde</v>
      </c>
      <c r="F57" s="11">
        <f ca="1">IFERROR(__xludf.DUMMYFUNCTION("""COMPUTED_VALUE"""),9082413633)</f>
        <v>9082413633</v>
      </c>
      <c r="G57" s="11" t="str">
        <f ca="1">IFERROR(__xludf.DUMMYFUNCTION("""COMPUTED_VALUE"""),"Second Year (Graduation Year of Passing:- 2029)")</f>
        <v>Second Year (Graduation Year of Passing:- 2029)</v>
      </c>
      <c r="H57" s="34" t="str">
        <f ca="1">IFERROR(__xludf.DUMMYFUNCTION("""COMPUTED_VALUE"""),"ECS")</f>
        <v>ECS</v>
      </c>
      <c r="I57" s="11" t="str">
        <f ca="1">IFERROR(__xludf.DUMMYFUNCTION("""COMPUTED_VALUE"""),"Complete C2C (Aptitude + Soft Skills + Technical) training - Rs 3500/-")</f>
        <v>Complete C2C (Aptitude + Soft Skills + Technical) training - Rs 3500/-</v>
      </c>
      <c r="J57" s="35" t="str">
        <f ca="1">IFERROR(__xludf.DUMMYFUNCTION("""COMPUTED_VALUE"""),"https://drive.google.com/open?id=1nLTGQGPIcNSBnTeqpaFCjKpRlnmvfJ9_")</f>
        <v>https://drive.google.com/open?id=1nLTGQGPIcNSBnTeqpaFCjKpRlnmvfJ9_</v>
      </c>
      <c r="K57" s="44">
        <v>3500</v>
      </c>
      <c r="L57" s="64" t="s">
        <v>98</v>
      </c>
      <c r="M57" s="58" t="s">
        <v>101</v>
      </c>
      <c r="N57" s="37" t="s">
        <v>104</v>
      </c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22.5" customHeight="1" x14ac:dyDescent="0.25">
      <c r="A58" s="29">
        <f ca="1">IFERROR(__xludf.DUMMYFUNCTION("""COMPUTED_VALUE"""),46244.8321299421)</f>
        <v>46244.8321299421</v>
      </c>
      <c r="B58" s="11" t="str">
        <f ca="1">IFERROR(__xludf.DUMMYFUNCTION("""COMPUTED_VALUE"""),"vu2f2526005@pvppcoe.ac.in")</f>
        <v>vu2f2526005@pvppcoe.ac.in</v>
      </c>
      <c r="C58" s="11" t="str">
        <f ca="1">IFERROR(__xludf.DUMMYFUNCTION("""COMPUTED_VALUE"""),"VU2F2526005")</f>
        <v>VU2F2526005</v>
      </c>
      <c r="D58" s="11" t="str">
        <f ca="1">IFERROR(__xludf.DUMMYFUNCTION("""COMPUTED_VALUE"""),"VU2F2526005@pvppcoe.ac.in")</f>
        <v>VU2F2526005@pvppcoe.ac.in</v>
      </c>
      <c r="E58" s="11" t="str">
        <f ca="1">IFERROR(__xludf.DUMMYFUNCTION("""COMPUTED_VALUE"""),"Maitreyee Prashant Tulaskar ")</f>
        <v xml:space="preserve">Maitreyee Prashant Tulaskar </v>
      </c>
      <c r="F58" s="11">
        <f ca="1">IFERROR(__xludf.DUMMYFUNCTION("""COMPUTED_VALUE"""),8369926234)</f>
        <v>8369926234</v>
      </c>
      <c r="G58" s="11" t="str">
        <f ca="1">IFERROR(__xludf.DUMMYFUNCTION("""COMPUTED_VALUE"""),"Second Year (Graduation Year of Passing:- 2029)")</f>
        <v>Second Year (Graduation Year of Passing:- 2029)</v>
      </c>
      <c r="H58" s="34" t="str">
        <f ca="1">IFERROR(__xludf.DUMMYFUNCTION("""COMPUTED_VALUE"""),"AI &amp; ML")</f>
        <v>AI &amp; ML</v>
      </c>
      <c r="I58" s="11" t="str">
        <f ca="1">IFERROR(__xludf.DUMMYFUNCTION("""COMPUTED_VALUE"""),"Complete C2C (Aptitude + Soft Skills + Technical) training - Rs 3500/-")</f>
        <v>Complete C2C (Aptitude + Soft Skills + Technical) training - Rs 3500/-</v>
      </c>
      <c r="J58" s="35" t="str">
        <f ca="1">IFERROR(__xludf.DUMMYFUNCTION("""COMPUTED_VALUE"""),"https://drive.google.com/open?id=1fDPNf5tqC_ulqcL_OiuNpevLu7t8x4Ib")</f>
        <v>https://drive.google.com/open?id=1fDPNf5tqC_ulqcL_OiuNpevLu7t8x4Ib</v>
      </c>
      <c r="K58" s="37">
        <v>3500</v>
      </c>
      <c r="L58" s="65" t="s">
        <v>98</v>
      </c>
      <c r="M58" s="57" t="s">
        <v>101</v>
      </c>
      <c r="N58" s="37" t="s">
        <v>104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22.5" customHeight="1" x14ac:dyDescent="0.25">
      <c r="A59" s="29">
        <f ca="1">IFERROR(__xludf.DUMMYFUNCTION("""COMPUTED_VALUE"""),46244.8251615856)</f>
        <v>46244.825161585599</v>
      </c>
      <c r="B59" s="11" t="str">
        <f ca="1">IFERROR(__xludf.DUMMYFUNCTION("""COMPUTED_VALUE"""),"vu2f2526006@pvppcoe.ac.in")</f>
        <v>vu2f2526006@pvppcoe.ac.in</v>
      </c>
      <c r="C59" s="11" t="str">
        <f ca="1">IFERROR(__xludf.DUMMYFUNCTION("""COMPUTED_VALUE"""),"VU2F2526006 ")</f>
        <v xml:space="preserve">VU2F2526006 </v>
      </c>
      <c r="D59" s="11" t="str">
        <f ca="1">IFERROR(__xludf.DUMMYFUNCTION("""COMPUTED_VALUE"""),"vu2f2526006@pvppcoe.ac.in")</f>
        <v>vu2f2526006@pvppcoe.ac.in</v>
      </c>
      <c r="E59" s="11" t="str">
        <f ca="1">IFERROR(__xludf.DUMMYFUNCTION("""COMPUTED_VALUE"""),"Sakunde Samiksha Santosh ")</f>
        <v xml:space="preserve">Sakunde Samiksha Santosh </v>
      </c>
      <c r="F59" s="11">
        <f ca="1">IFERROR(__xludf.DUMMYFUNCTION("""COMPUTED_VALUE"""),8108967957)</f>
        <v>8108967957</v>
      </c>
      <c r="G59" s="11" t="str">
        <f ca="1">IFERROR(__xludf.DUMMYFUNCTION("""COMPUTED_VALUE"""),"Second Year (Graduation Year of Passing:- 2029)")</f>
        <v>Second Year (Graduation Year of Passing:- 2029)</v>
      </c>
      <c r="H59" s="34" t="str">
        <f ca="1">IFERROR(__xludf.DUMMYFUNCTION("""COMPUTED_VALUE"""),"AI &amp; ML")</f>
        <v>AI &amp; ML</v>
      </c>
      <c r="I59" s="11" t="str">
        <f ca="1">IFERROR(__xludf.DUMMYFUNCTION("""COMPUTED_VALUE"""),"Complete C2C (Aptitude + Soft Skills + Technical) training - Rs 3500/-")</f>
        <v>Complete C2C (Aptitude + Soft Skills + Technical) training - Rs 3500/-</v>
      </c>
      <c r="J59" s="67" t="str">
        <f ca="1">IFERROR(__xludf.DUMMYFUNCTION("""COMPUTED_VALUE"""),"https://drive.google.com/open?id=1tGAhlndcRuXuXv3vVmd8Bamj57TzPkWZ")</f>
        <v>https://drive.google.com/open?id=1tGAhlndcRuXuXv3vVmd8Bamj57TzPkWZ</v>
      </c>
      <c r="K59" s="44">
        <v>3500</v>
      </c>
      <c r="L59" s="64" t="s">
        <v>98</v>
      </c>
      <c r="M59" s="57" t="s">
        <v>101</v>
      </c>
      <c r="N59" s="37" t="s">
        <v>104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22.5" customHeight="1" x14ac:dyDescent="0.25">
      <c r="A60" s="29">
        <f ca="1">IFERROR(__xludf.DUMMYFUNCTION("""COMPUTED_VALUE"""),46244.8190739236)</f>
        <v>46244.819073923602</v>
      </c>
      <c r="B60" s="11" t="str">
        <f ca="1">IFERROR(__xludf.DUMMYFUNCTION("""COMPUTED_VALUE"""),"vu1f2526109@pvppcoe.ac.in")</f>
        <v>vu1f2526109@pvppcoe.ac.in</v>
      </c>
      <c r="C60" s="11" t="str">
        <f ca="1">IFERROR(__xludf.DUMMYFUNCTION("""COMPUTED_VALUE"""),"VU1F2526109")</f>
        <v>VU1F2526109</v>
      </c>
      <c r="D60" s="11" t="str">
        <f ca="1">IFERROR(__xludf.DUMMYFUNCTION("""COMPUTED_VALUE"""),"VU1F2526109@pvppcoe.ac.in")</f>
        <v>VU1F2526109@pvppcoe.ac.in</v>
      </c>
      <c r="E60" s="11" t="str">
        <f ca="1">IFERROR(__xludf.DUMMYFUNCTION("""COMPUTED_VALUE"""),"Gandhi Reetvik Sameer")</f>
        <v>Gandhi Reetvik Sameer</v>
      </c>
      <c r="F60" s="11">
        <f ca="1">IFERROR(__xludf.DUMMYFUNCTION("""COMPUTED_VALUE"""),8369741372)</f>
        <v>8369741372</v>
      </c>
      <c r="G60" s="11" t="str">
        <f ca="1">IFERROR(__xludf.DUMMYFUNCTION("""COMPUTED_VALUE"""),"Second Year (Graduation Year of Passing:- 2029)")</f>
        <v>Second Year (Graduation Year of Passing:- 2029)</v>
      </c>
      <c r="H60" s="34" t="str">
        <f ca="1">IFERROR(__xludf.DUMMYFUNCTION("""COMPUTED_VALUE"""),"CS")</f>
        <v>CS</v>
      </c>
      <c r="I60" s="11" t="str">
        <f ca="1">IFERROR(__xludf.DUMMYFUNCTION("""COMPUTED_VALUE"""),"Complete C2C (Aptitude + Soft Skills + Technical) training - Rs 3500/-")</f>
        <v>Complete C2C (Aptitude + Soft Skills + Technical) training - Rs 3500/-</v>
      </c>
      <c r="J60" s="36" t="str">
        <f ca="1">IFERROR(__xludf.DUMMYFUNCTION("""COMPUTED_VALUE"""),"https://drive.google.com/open?id=1pYILoUv4KEHB5q_expalO9of5toUX8Ih")</f>
        <v>https://drive.google.com/open?id=1pYILoUv4KEHB5q_expalO9of5toUX8Ih</v>
      </c>
      <c r="K60" s="37">
        <v>3500</v>
      </c>
      <c r="L60" s="65" t="s">
        <v>98</v>
      </c>
      <c r="M60" s="57" t="s">
        <v>101</v>
      </c>
      <c r="N60" s="37" t="s">
        <v>104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22.5" customHeight="1" x14ac:dyDescent="0.25">
      <c r="A61" s="29">
        <f ca="1">IFERROR(__xludf.DUMMYFUNCTION("""COMPUTED_VALUE"""),46244.808810162)</f>
        <v>46244.808810162001</v>
      </c>
      <c r="B61" s="11" t="str">
        <f ca="1">IFERROR(__xludf.DUMMYFUNCTION("""COMPUTED_VALUE"""),"vu4f2526029@pvppcoe.ac.in")</f>
        <v>vu4f2526029@pvppcoe.ac.in</v>
      </c>
      <c r="C61" s="11" t="str">
        <f ca="1">IFERROR(__xludf.DUMMYFUNCTION("""COMPUTED_VALUE"""),"VU4F2526029 ")</f>
        <v xml:space="preserve">VU4F2526029 </v>
      </c>
      <c r="D61" s="11" t="str">
        <f ca="1">IFERROR(__xludf.DUMMYFUNCTION("""COMPUTED_VALUE"""),"vu4f2526029@pvppcoe.ac.in")</f>
        <v>vu4f2526029@pvppcoe.ac.in</v>
      </c>
      <c r="E61" s="11" t="str">
        <f ca="1">IFERROR(__xludf.DUMMYFUNCTION("""COMPUTED_VALUE"""),"More Harsh Sunil")</f>
        <v>More Harsh Sunil</v>
      </c>
      <c r="F61" s="11">
        <f ca="1">IFERROR(__xludf.DUMMYFUNCTION("""COMPUTED_VALUE"""),8108470263)</f>
        <v>8108470263</v>
      </c>
      <c r="G61" s="11" t="str">
        <f ca="1">IFERROR(__xludf.DUMMYFUNCTION("""COMPUTED_VALUE"""),"Second Year (Graduation Year of Passing:- 2029)")</f>
        <v>Second Year (Graduation Year of Passing:- 2029)</v>
      </c>
      <c r="H61" s="34" t="str">
        <f ca="1">IFERROR(__xludf.DUMMYFUNCTION("""COMPUTED_VALUE"""),"IT")</f>
        <v>IT</v>
      </c>
      <c r="I61" s="11" t="str">
        <f ca="1">IFERROR(__xludf.DUMMYFUNCTION("""COMPUTED_VALUE"""),"Complete C2C (Aptitude + Soft Skills + Technical) training - Rs 3500/-")</f>
        <v>Complete C2C (Aptitude + Soft Skills + Technical) training - Rs 3500/-</v>
      </c>
      <c r="J61" s="67" t="str">
        <f ca="1">IFERROR(__xludf.DUMMYFUNCTION("""COMPUTED_VALUE"""),"https://drive.google.com/open?id=1Iajo4XMvzOP05zdjn0pJpYP6NpR0Ns6I")</f>
        <v>https://drive.google.com/open?id=1Iajo4XMvzOP05zdjn0pJpYP6NpR0Ns6I</v>
      </c>
      <c r="K61" s="44">
        <v>3500</v>
      </c>
      <c r="L61" s="64" t="s">
        <v>98</v>
      </c>
      <c r="M61" s="57" t="s">
        <v>101</v>
      </c>
      <c r="N61" s="37" t="s">
        <v>104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22.5" customHeight="1" x14ac:dyDescent="0.25">
      <c r="A62" s="29">
        <f ca="1">IFERROR(__xludf.DUMMYFUNCTION("""COMPUTED_VALUE"""),46244.8007961921)</f>
        <v>46244.800796192103</v>
      </c>
      <c r="B62" s="11" t="str">
        <f ca="1">IFERROR(__xludf.DUMMYFUNCTION("""COMPUTED_VALUE"""),"vu1f2526147@pvppcoe.ac.in")</f>
        <v>vu1f2526147@pvppcoe.ac.in</v>
      </c>
      <c r="C62" s="11" t="str">
        <f ca="1">IFERROR(__xludf.DUMMYFUNCTION("""COMPUTED_VALUE"""),"VU1F2526147")</f>
        <v>VU1F2526147</v>
      </c>
      <c r="D62" s="11" t="str">
        <f ca="1">IFERROR(__xludf.DUMMYFUNCTION("""COMPUTED_VALUE"""),"vu1f2526147@pvppcoe.ac.in")</f>
        <v>vu1f2526147@pvppcoe.ac.in</v>
      </c>
      <c r="E62" s="11" t="str">
        <f ca="1">IFERROR(__xludf.DUMMYFUNCTION("""COMPUTED_VALUE"""),"Padala Navya Srinivas ")</f>
        <v xml:space="preserve">Padala Navya Srinivas </v>
      </c>
      <c r="F62" s="11">
        <f ca="1">IFERROR(__xludf.DUMMYFUNCTION("""COMPUTED_VALUE"""),9769741223)</f>
        <v>9769741223</v>
      </c>
      <c r="G62" s="11" t="str">
        <f ca="1">IFERROR(__xludf.DUMMYFUNCTION("""COMPUTED_VALUE"""),"Second Year (Graduation Year of Passing:- 2029)")</f>
        <v>Second Year (Graduation Year of Passing:- 2029)</v>
      </c>
      <c r="H62" s="34" t="str">
        <f ca="1">IFERROR(__xludf.DUMMYFUNCTION("""COMPUTED_VALUE"""),"CS")</f>
        <v>CS</v>
      </c>
      <c r="I62" s="11" t="str">
        <f ca="1">IFERROR(__xludf.DUMMYFUNCTION("""COMPUTED_VALUE"""),"Complete C2C (Aptitude + Soft Skills + Technical) training - Rs 3500/-")</f>
        <v>Complete C2C (Aptitude + Soft Skills + Technical) training - Rs 3500/-</v>
      </c>
      <c r="J62" s="67" t="str">
        <f ca="1">IFERROR(__xludf.DUMMYFUNCTION("""COMPUTED_VALUE"""),"https://drive.google.com/open?id=1iCk41EdHrEww9lsCdFIL_h2QAkKDsJdZ")</f>
        <v>https://drive.google.com/open?id=1iCk41EdHrEww9lsCdFIL_h2QAkKDsJdZ</v>
      </c>
      <c r="K62" s="37">
        <v>3500</v>
      </c>
      <c r="L62" s="65" t="s">
        <v>98</v>
      </c>
      <c r="M62" s="57" t="s">
        <v>101</v>
      </c>
      <c r="N62" s="37" t="s">
        <v>104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22.5" customHeight="1" x14ac:dyDescent="0.25">
      <c r="A63" s="29">
        <f ca="1">IFERROR(__xludf.DUMMYFUNCTION("""COMPUTED_VALUE"""),46244.7988525115)</f>
        <v>46244.7988525115</v>
      </c>
      <c r="B63" s="11" t="str">
        <f ca="1">IFERROR(__xludf.DUMMYFUNCTION("""COMPUTED_VALUE"""),"vu1f2526078@pvppcoe.ac.in")</f>
        <v>vu1f2526078@pvppcoe.ac.in</v>
      </c>
      <c r="C63" s="11" t="str">
        <f ca="1">IFERROR(__xludf.DUMMYFUNCTION("""COMPUTED_VALUE"""),"VU1F2526078 ")</f>
        <v xml:space="preserve">VU1F2526078 </v>
      </c>
      <c r="D63" s="11" t="str">
        <f ca="1">IFERROR(__xludf.DUMMYFUNCTION("""COMPUTED_VALUE"""),"vu1f2526078@pvppcoe.ac.in")</f>
        <v>vu1f2526078@pvppcoe.ac.in</v>
      </c>
      <c r="E63" s="11" t="str">
        <f ca="1">IFERROR(__xludf.DUMMYFUNCTION("""COMPUTED_VALUE"""),"PATIL PRANOTI PRAVIN ")</f>
        <v xml:space="preserve">PATIL PRANOTI PRAVIN </v>
      </c>
      <c r="F63" s="11">
        <f ca="1">IFERROR(__xludf.DUMMYFUNCTION("""COMPUTED_VALUE"""),8767949474)</f>
        <v>8767949474</v>
      </c>
      <c r="G63" s="11" t="str">
        <f ca="1">IFERROR(__xludf.DUMMYFUNCTION("""COMPUTED_VALUE"""),"Second Year (Graduation Year of Passing:- 2029)")</f>
        <v>Second Year (Graduation Year of Passing:- 2029)</v>
      </c>
      <c r="H63" s="34" t="str">
        <f ca="1">IFERROR(__xludf.DUMMYFUNCTION("""COMPUTED_VALUE"""),"CS")</f>
        <v>CS</v>
      </c>
      <c r="I63" s="11" t="str">
        <f ca="1">IFERROR(__xludf.DUMMYFUNCTION("""COMPUTED_VALUE"""),"Complete C2C (Aptitude + Soft Skills + Technical) training - Rs 3500/-")</f>
        <v>Complete C2C (Aptitude + Soft Skills + Technical) training - Rs 3500/-</v>
      </c>
      <c r="J63" s="67" t="str">
        <f ca="1">IFERROR(__xludf.DUMMYFUNCTION("""COMPUTED_VALUE"""),"https://drive.google.com/open?id=1oznfJmnit4Eh70nt5bJl9LzQ7sCRJzk-")</f>
        <v>https://drive.google.com/open?id=1oznfJmnit4Eh70nt5bJl9LzQ7sCRJzk-</v>
      </c>
      <c r="K63" s="44">
        <v>3500</v>
      </c>
      <c r="L63" s="64" t="s">
        <v>98</v>
      </c>
      <c r="M63" s="57" t="s">
        <v>101</v>
      </c>
      <c r="N63" s="37" t="s">
        <v>104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22.5" customHeight="1" x14ac:dyDescent="0.25">
      <c r="A64" s="29">
        <f ca="1">IFERROR(__xludf.DUMMYFUNCTION("""COMPUTED_VALUE"""),46244.7986205092)</f>
        <v>46244.798620509202</v>
      </c>
      <c r="B64" s="11" t="str">
        <f ca="1">IFERROR(__xludf.DUMMYFUNCTION("""COMPUTED_VALUE"""),"vu4f2526079@pvppcoe.ac.in")</f>
        <v>vu4f2526079@pvppcoe.ac.in</v>
      </c>
      <c r="C64" s="11" t="str">
        <f ca="1">IFERROR(__xludf.DUMMYFUNCTION("""COMPUTED_VALUE"""),"VU4F2526079")</f>
        <v>VU4F2526079</v>
      </c>
      <c r="D64" s="11" t="str">
        <f ca="1">IFERROR(__xludf.DUMMYFUNCTION("""COMPUTED_VALUE"""),"vu4f2526079@pvppcoe.ac.in")</f>
        <v>vu4f2526079@pvppcoe.ac.in</v>
      </c>
      <c r="E64" s="11" t="str">
        <f ca="1">IFERROR(__xludf.DUMMYFUNCTION("""COMPUTED_VALUE"""),"SHELAR PARAS SANJAY")</f>
        <v>SHELAR PARAS SANJAY</v>
      </c>
      <c r="F64" s="11">
        <f ca="1">IFERROR(__xludf.DUMMYFUNCTION("""COMPUTED_VALUE"""),8169347565)</f>
        <v>8169347565</v>
      </c>
      <c r="G64" s="11" t="str">
        <f ca="1">IFERROR(__xludf.DUMMYFUNCTION("""COMPUTED_VALUE"""),"Second Year (Graduation Year of Passing:- 2029)")</f>
        <v>Second Year (Graduation Year of Passing:- 2029)</v>
      </c>
      <c r="H64" s="34" t="str">
        <f ca="1">IFERROR(__xludf.DUMMYFUNCTION("""COMPUTED_VALUE"""),"IT")</f>
        <v>IT</v>
      </c>
      <c r="I64" s="11" t="str">
        <f ca="1">IFERROR(__xludf.DUMMYFUNCTION("""COMPUTED_VALUE"""),"Complete C2C (Aptitude + Soft Skills + Technical) training - Rs 3500/-")</f>
        <v>Complete C2C (Aptitude + Soft Skills + Technical) training - Rs 3500/-</v>
      </c>
      <c r="J64" s="67" t="str">
        <f ca="1">IFERROR(__xludf.DUMMYFUNCTION("""COMPUTED_VALUE"""),"https://drive.google.com/open?id=1t8TxC-xHHTCQ7LLpy8Ie5qN1qaDE_SQz")</f>
        <v>https://drive.google.com/open?id=1t8TxC-xHHTCQ7LLpy8Ie5qN1qaDE_SQz</v>
      </c>
      <c r="K64" s="37">
        <v>3500</v>
      </c>
      <c r="L64" s="65" t="s">
        <v>98</v>
      </c>
      <c r="M64" s="57" t="s">
        <v>101</v>
      </c>
      <c r="N64" s="37" t="s">
        <v>104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22.5" customHeight="1" x14ac:dyDescent="0.25">
      <c r="A65" s="29">
        <f ca="1">IFERROR(__xludf.DUMMYFUNCTION("""COMPUTED_VALUE"""),46244.7923434722)</f>
        <v>46244.792343472203</v>
      </c>
      <c r="B65" s="11" t="str">
        <f ca="1">IFERROR(__xludf.DUMMYFUNCTION("""COMPUTED_VALUE"""),"vu1f2526153@pvppcoe.ac.in")</f>
        <v>vu1f2526153@pvppcoe.ac.in</v>
      </c>
      <c r="C65" s="11" t="str">
        <f ca="1">IFERROR(__xludf.DUMMYFUNCTION("""COMPUTED_VALUE"""),"VU1F2526153")</f>
        <v>VU1F2526153</v>
      </c>
      <c r="D65" s="11" t="str">
        <f ca="1">IFERROR(__xludf.DUMMYFUNCTION("""COMPUTED_VALUE"""),"vu1f2526153@pvppcoe.ac.in")</f>
        <v>vu1f2526153@pvppcoe.ac.in</v>
      </c>
      <c r="E65" s="11" t="str">
        <f ca="1">IFERROR(__xludf.DUMMYFUNCTION("""COMPUTED_VALUE"""),"Yewale Vishwajeet Santosh ")</f>
        <v xml:space="preserve">Yewale Vishwajeet Santosh </v>
      </c>
      <c r="F65" s="11">
        <f ca="1">IFERROR(__xludf.DUMMYFUNCTION("""COMPUTED_VALUE"""),8108177441)</f>
        <v>8108177441</v>
      </c>
      <c r="G65" s="11" t="str">
        <f ca="1">IFERROR(__xludf.DUMMYFUNCTION("""COMPUTED_VALUE"""),"Second Year (Graduation Year of Passing:- 2029)")</f>
        <v>Second Year (Graduation Year of Passing:- 2029)</v>
      </c>
      <c r="H65" s="34" t="str">
        <f ca="1">IFERROR(__xludf.DUMMYFUNCTION("""COMPUTED_VALUE"""),"CS")</f>
        <v>CS</v>
      </c>
      <c r="I65" s="11" t="str">
        <f ca="1">IFERROR(__xludf.DUMMYFUNCTION("""COMPUTED_VALUE"""),"Complete C2C (Aptitude + Soft Skills + Technical) training - Rs 3500/-")</f>
        <v>Complete C2C (Aptitude + Soft Skills + Technical) training - Rs 3500/-</v>
      </c>
      <c r="J65" s="67" t="str">
        <f ca="1">IFERROR(__xludf.DUMMYFUNCTION("""COMPUTED_VALUE"""),"https://drive.google.com/open?id=1MUHNCL5OU3SJqVYxOOsdNhVZmEk1zFnf")</f>
        <v>https://drive.google.com/open?id=1MUHNCL5OU3SJqVYxOOsdNhVZmEk1zFnf</v>
      </c>
      <c r="K65" s="44">
        <v>3500</v>
      </c>
      <c r="L65" s="64" t="s">
        <v>98</v>
      </c>
      <c r="M65" s="57" t="s">
        <v>101</v>
      </c>
      <c r="N65" s="44" t="s">
        <v>104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22.5" customHeight="1" x14ac:dyDescent="0.25">
      <c r="A66" s="29">
        <f ca="1">IFERROR(__xludf.DUMMYFUNCTION("""COMPUTED_VALUE"""),46244.78261853)</f>
        <v>46244.78261853</v>
      </c>
      <c r="B66" s="11" t="str">
        <f ca="1">IFERROR(__xludf.DUMMYFUNCTION("""COMPUTED_VALUE"""),"vu4f2526110@pvppcoe.ac.in")</f>
        <v>vu4f2526110@pvppcoe.ac.in</v>
      </c>
      <c r="C66" s="11" t="str">
        <f ca="1">IFERROR(__xludf.DUMMYFUNCTION("""COMPUTED_VALUE"""),"VU4F2526110")</f>
        <v>VU4F2526110</v>
      </c>
      <c r="D66" s="11" t="str">
        <f ca="1">IFERROR(__xludf.DUMMYFUNCTION("""COMPUTED_VALUE"""),"VU4F2526110@pvppcoe.ac.in")</f>
        <v>VU4F2526110@pvppcoe.ac.in</v>
      </c>
      <c r="E66" s="11" t="str">
        <f ca="1">IFERROR(__xludf.DUMMYFUNCTION("""COMPUTED_VALUE"""),"Sarfare Atharva ")</f>
        <v xml:space="preserve">Sarfare Atharva </v>
      </c>
      <c r="F66" s="11">
        <f ca="1">IFERROR(__xludf.DUMMYFUNCTION("""COMPUTED_VALUE"""),9326899522)</f>
        <v>9326899522</v>
      </c>
      <c r="G66" s="11" t="str">
        <f ca="1">IFERROR(__xludf.DUMMYFUNCTION("""COMPUTED_VALUE"""),"Second Year (Graduation Year of Passing:- 2029)")</f>
        <v>Second Year (Graduation Year of Passing:- 2029)</v>
      </c>
      <c r="H66" s="34" t="str">
        <f ca="1">IFERROR(__xludf.DUMMYFUNCTION("""COMPUTED_VALUE"""),"IT")</f>
        <v>IT</v>
      </c>
      <c r="I66" s="11" t="str">
        <f ca="1">IFERROR(__xludf.DUMMYFUNCTION("""COMPUTED_VALUE"""),"Complete C2C (Aptitude + Soft Skills + Technical) training - Rs 3500/-")</f>
        <v>Complete C2C (Aptitude + Soft Skills + Technical) training - Rs 3500/-</v>
      </c>
      <c r="J66" s="67" t="str">
        <f ca="1">IFERROR(__xludf.DUMMYFUNCTION("""COMPUTED_VALUE"""),"https://drive.google.com/open?id=1fxz3tyQW6QttJ08u8dRrcHHm81P4jH1W")</f>
        <v>https://drive.google.com/open?id=1fxz3tyQW6QttJ08u8dRrcHHm81P4jH1W</v>
      </c>
      <c r="K66" s="37">
        <v>3500</v>
      </c>
      <c r="L66" s="38" t="s">
        <v>98</v>
      </c>
      <c r="M66" s="57" t="s">
        <v>101</v>
      </c>
      <c r="N66" s="37" t="s">
        <v>104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22.5" customHeight="1" x14ac:dyDescent="0.25">
      <c r="A67" s="29">
        <f ca="1">IFERROR(__xludf.DUMMYFUNCTION("""COMPUTED_VALUE"""),46244.6407693981)</f>
        <v>46244.640769398102</v>
      </c>
      <c r="B67" s="11" t="str">
        <f ca="1">IFERROR(__xludf.DUMMYFUNCTION("""COMPUTED_VALUE"""),"vu1f2526111@pvppcoe.ac.in")</f>
        <v>vu1f2526111@pvppcoe.ac.in</v>
      </c>
      <c r="C67" s="11" t="str">
        <f ca="1">IFERROR(__xludf.DUMMYFUNCTION("""COMPUTED_VALUE"""),"VU1F2526111")</f>
        <v>VU1F2526111</v>
      </c>
      <c r="D67" s="11" t="str">
        <f ca="1">IFERROR(__xludf.DUMMYFUNCTION("""COMPUTED_VALUE"""),"vu1f2526111@pvppcoe.ac.in")</f>
        <v>vu1f2526111@pvppcoe.ac.in</v>
      </c>
      <c r="E67" s="11" t="str">
        <f ca="1">IFERROR(__xludf.DUMMYFUNCTION("""COMPUTED_VALUE"""),"Tiwari Divyanshu")</f>
        <v>Tiwari Divyanshu</v>
      </c>
      <c r="F67" s="11">
        <f ca="1">IFERROR(__xludf.DUMMYFUNCTION("""COMPUTED_VALUE"""),9653228849)</f>
        <v>9653228849</v>
      </c>
      <c r="G67" s="11" t="str">
        <f ca="1">IFERROR(__xludf.DUMMYFUNCTION("""COMPUTED_VALUE"""),"Second Year (Graduation Year of Passing:- 2029)")</f>
        <v>Second Year (Graduation Year of Passing:- 2029)</v>
      </c>
      <c r="H67" s="34" t="str">
        <f ca="1">IFERROR(__xludf.DUMMYFUNCTION("""COMPUTED_VALUE"""),"CS")</f>
        <v>CS</v>
      </c>
      <c r="I67" s="11" t="str">
        <f ca="1">IFERROR(__xludf.DUMMYFUNCTION("""COMPUTED_VALUE"""),"Complete C2C (Aptitude + Soft Skills + Technical) training - Rs 3500/-")</f>
        <v>Complete C2C (Aptitude + Soft Skills + Technical) training - Rs 3500/-</v>
      </c>
      <c r="J67" s="67" t="str">
        <f ca="1">IFERROR(__xludf.DUMMYFUNCTION("""COMPUTED_VALUE"""),"https://drive.google.com/open?id=1wSiNV0dEdtm3PwD8TXve-CV7uBXb5Xj2")</f>
        <v>https://drive.google.com/open?id=1wSiNV0dEdtm3PwD8TXve-CV7uBXb5Xj2</v>
      </c>
      <c r="K67" s="44">
        <v>3500</v>
      </c>
      <c r="L67" s="64" t="s">
        <v>98</v>
      </c>
      <c r="M67" s="57" t="s">
        <v>101</v>
      </c>
      <c r="N67" s="37" t="s">
        <v>104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22.5" customHeight="1" x14ac:dyDescent="0.25">
      <c r="A68" s="29">
        <f ca="1">IFERROR(__xludf.DUMMYFUNCTION("""COMPUTED_VALUE"""),46244.5628824189)</f>
        <v>46244.562882418897</v>
      </c>
      <c r="B68" s="11" t="str">
        <f ca="1">IFERROR(__xludf.DUMMYFUNCTION("""COMPUTED_VALUE"""),"vu1f2526137@pvppcoe.ac.in")</f>
        <v>vu1f2526137@pvppcoe.ac.in</v>
      </c>
      <c r="C68" s="11" t="str">
        <f ca="1">IFERROR(__xludf.DUMMYFUNCTION("""COMPUTED_VALUE"""),"VU1F2526137 ")</f>
        <v xml:space="preserve">VU1F2526137 </v>
      </c>
      <c r="D68" s="11" t="str">
        <f ca="1">IFERROR(__xludf.DUMMYFUNCTION("""COMPUTED_VALUE"""),"Swastikakavthe03@gmail.com")</f>
        <v>Swastikakavthe03@gmail.com</v>
      </c>
      <c r="E68" s="11" t="str">
        <f ca="1">IFERROR(__xludf.DUMMYFUNCTION("""COMPUTED_VALUE"""),"Kavthe swastika aniruddha")</f>
        <v>Kavthe swastika aniruddha</v>
      </c>
      <c r="F68" s="11">
        <f ca="1">IFERROR(__xludf.DUMMYFUNCTION("""COMPUTED_VALUE"""),8879111540)</f>
        <v>8879111540</v>
      </c>
      <c r="G68" s="11" t="str">
        <f ca="1">IFERROR(__xludf.DUMMYFUNCTION("""COMPUTED_VALUE"""),"Second Year (Graduation Year of Passing:- 2029)")</f>
        <v>Second Year (Graduation Year of Passing:- 2029)</v>
      </c>
      <c r="H68" s="34" t="str">
        <f ca="1">IFERROR(__xludf.DUMMYFUNCTION("""COMPUTED_VALUE"""),"CS")</f>
        <v>CS</v>
      </c>
      <c r="I68" s="11" t="str">
        <f ca="1">IFERROR(__xludf.DUMMYFUNCTION("""COMPUTED_VALUE"""),"Complete C2C (Aptitude + Soft Skills + Technical) training - Rs 3500/-")</f>
        <v>Complete C2C (Aptitude + Soft Skills + Technical) training - Rs 3500/-</v>
      </c>
      <c r="J68" s="67" t="str">
        <f ca="1">IFERROR(__xludf.DUMMYFUNCTION("""COMPUTED_VALUE"""),"https://drive.google.com/open?id=1Wg8TEM5ptaZpd8OF85DLnpBXbnRlgO8N")</f>
        <v>https://drive.google.com/open?id=1Wg8TEM5ptaZpd8OF85DLnpBXbnRlgO8N</v>
      </c>
      <c r="K68" s="37">
        <v>3500</v>
      </c>
      <c r="L68" s="65" t="s">
        <v>98</v>
      </c>
      <c r="M68" s="57" t="s">
        <v>101</v>
      </c>
      <c r="N68" s="37" t="s">
        <v>104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22.5" customHeight="1" x14ac:dyDescent="0.25">
      <c r="A69" s="29">
        <f ca="1">IFERROR(__xludf.DUMMYFUNCTION("""COMPUTED_VALUE"""),46244.5540484606)</f>
        <v>46244.554048460603</v>
      </c>
      <c r="B69" s="11" t="str">
        <f ca="1">IFERROR(__xludf.DUMMYFUNCTION("""COMPUTED_VALUE"""),"vu1f2526144@pvppcoe.ac.in")</f>
        <v>vu1f2526144@pvppcoe.ac.in</v>
      </c>
      <c r="C69" s="11" t="str">
        <f ca="1">IFERROR(__xludf.DUMMYFUNCTION("""COMPUTED_VALUE"""),"VU1F2526144")</f>
        <v>VU1F2526144</v>
      </c>
      <c r="D69" s="11" t="str">
        <f ca="1">IFERROR(__xludf.DUMMYFUNCTION("""COMPUTED_VALUE"""),"vu1f2526144@pvppcoe.ac.in")</f>
        <v>vu1f2526144@pvppcoe.ac.in</v>
      </c>
      <c r="E69" s="11" t="str">
        <f ca="1">IFERROR(__xludf.DUMMYFUNCTION("""COMPUTED_VALUE"""),"Gaikar Jay Mahesh")</f>
        <v>Gaikar Jay Mahesh</v>
      </c>
      <c r="F69" s="11">
        <f ca="1">IFERROR(__xludf.DUMMYFUNCTION("""COMPUTED_VALUE"""),9137922617)</f>
        <v>9137922617</v>
      </c>
      <c r="G69" s="11" t="str">
        <f ca="1">IFERROR(__xludf.DUMMYFUNCTION("""COMPUTED_VALUE"""),"Second Year (Graduation Year of Passing:- 2029)")</f>
        <v>Second Year (Graduation Year of Passing:- 2029)</v>
      </c>
      <c r="H69" s="34" t="str">
        <f ca="1">IFERROR(__xludf.DUMMYFUNCTION("""COMPUTED_VALUE"""),"CS")</f>
        <v>CS</v>
      </c>
      <c r="I69" s="11" t="str">
        <f ca="1">IFERROR(__xludf.DUMMYFUNCTION("""COMPUTED_VALUE"""),"Complete C2C (Aptitude + Soft Skills + Technical) training - Rs 3500/-")</f>
        <v>Complete C2C (Aptitude + Soft Skills + Technical) training - Rs 3500/-</v>
      </c>
      <c r="J69" s="67" t="str">
        <f ca="1">IFERROR(__xludf.DUMMYFUNCTION("""COMPUTED_VALUE"""),"https://drive.google.com/open?id=1ysDdtNTt5YI9a7A5I5qOk1ihRmxkwEQq")</f>
        <v>https://drive.google.com/open?id=1ysDdtNTt5YI9a7A5I5qOk1ihRmxkwEQq</v>
      </c>
      <c r="K69" s="44">
        <v>3500</v>
      </c>
      <c r="L69" s="64" t="s">
        <v>98</v>
      </c>
      <c r="M69" s="57" t="s">
        <v>101</v>
      </c>
      <c r="N69" s="37" t="s">
        <v>104</v>
      </c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22.5" customHeight="1" x14ac:dyDescent="0.25">
      <c r="A70" s="29">
        <f ca="1">IFERROR(__xludf.DUMMYFUNCTION("""COMPUTED_VALUE"""),46244.5478556134)</f>
        <v>46244.547855613397</v>
      </c>
      <c r="B70" s="11" t="str">
        <f ca="1">IFERROR(__xludf.DUMMYFUNCTION("""COMPUTED_VALUE"""),"vu1f2526143@pvppcoe.ac.in")</f>
        <v>vu1f2526143@pvppcoe.ac.in</v>
      </c>
      <c r="C70" s="11" t="str">
        <f ca="1">IFERROR(__xludf.DUMMYFUNCTION("""COMPUTED_VALUE"""),"VU1F2526143 ")</f>
        <v xml:space="preserve">VU1F2526143 </v>
      </c>
      <c r="D70" s="11" t="str">
        <f ca="1">IFERROR(__xludf.DUMMYFUNCTION("""COMPUTED_VALUE"""),"VU1F2526143@pvppcoe.ac.in")</f>
        <v>VU1F2526143@pvppcoe.ac.in</v>
      </c>
      <c r="E70" s="11" t="str">
        <f ca="1">IFERROR(__xludf.DUMMYFUNCTION("""COMPUTED_VALUE"""),"MUNGURKAR SANVI SANTOSH")</f>
        <v>MUNGURKAR SANVI SANTOSH</v>
      </c>
      <c r="F70" s="11">
        <f ca="1">IFERROR(__xludf.DUMMYFUNCTION("""COMPUTED_VALUE"""),9930852966)</f>
        <v>9930852966</v>
      </c>
      <c r="G70" s="11" t="str">
        <f ca="1">IFERROR(__xludf.DUMMYFUNCTION("""COMPUTED_VALUE"""),"Second Year (Graduation Year of Passing:- 2029)")</f>
        <v>Second Year (Graduation Year of Passing:- 2029)</v>
      </c>
      <c r="H70" s="34" t="str">
        <f ca="1">IFERROR(__xludf.DUMMYFUNCTION("""COMPUTED_VALUE"""),"CS")</f>
        <v>CS</v>
      </c>
      <c r="I70" s="11" t="str">
        <f ca="1">IFERROR(__xludf.DUMMYFUNCTION("""COMPUTED_VALUE"""),"Complete C2C (Aptitude + Soft Skills + Technical) training - Rs 3500/-")</f>
        <v>Complete C2C (Aptitude + Soft Skills + Technical) training - Rs 3500/-</v>
      </c>
      <c r="J70" s="67" t="str">
        <f ca="1">IFERROR(__xludf.DUMMYFUNCTION("""COMPUTED_VALUE"""),"https://drive.google.com/open?id=1T7FJvzoiZQQU_zS9VCUo6lWJfxG5X-P6")</f>
        <v>https://drive.google.com/open?id=1T7FJvzoiZQQU_zS9VCUo6lWJfxG5X-P6</v>
      </c>
      <c r="K70" s="37">
        <v>3500</v>
      </c>
      <c r="L70" s="65" t="s">
        <v>98</v>
      </c>
      <c r="M70" s="57" t="s">
        <v>101</v>
      </c>
      <c r="N70" s="37" t="s">
        <v>104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22.5" customHeight="1" x14ac:dyDescent="0.25">
      <c r="A71" s="29">
        <f ca="1">IFERROR(__xludf.DUMMYFUNCTION("""COMPUTED_VALUE"""),46244.5366750925)</f>
        <v>46244.536675092502</v>
      </c>
      <c r="B71" s="11" t="str">
        <f ca="1">IFERROR(__xludf.DUMMYFUNCTION("""COMPUTED_VALUE"""),"vu1f2526145@pvppcoe.ac.in")</f>
        <v>vu1f2526145@pvppcoe.ac.in</v>
      </c>
      <c r="C71" s="11" t="str">
        <f ca="1">IFERROR(__xludf.DUMMYFUNCTION("""COMPUTED_VALUE"""),"VU1F2526145 ")</f>
        <v xml:space="preserve">VU1F2526145 </v>
      </c>
      <c r="D71" s="11" t="str">
        <f ca="1">IFERROR(__xludf.DUMMYFUNCTION("""COMPUTED_VALUE"""),"vu1f2526145@pvppcoe.ac.in")</f>
        <v>vu1f2526145@pvppcoe.ac.in</v>
      </c>
      <c r="E71" s="11" t="str">
        <f ca="1">IFERROR(__xludf.DUMMYFUNCTION("""COMPUTED_VALUE"""),"Tamboli Varad Vinay")</f>
        <v>Tamboli Varad Vinay</v>
      </c>
      <c r="F71" s="11">
        <f ca="1">IFERROR(__xludf.DUMMYFUNCTION("""COMPUTED_VALUE"""),9930180889)</f>
        <v>9930180889</v>
      </c>
      <c r="G71" s="11" t="str">
        <f ca="1">IFERROR(__xludf.DUMMYFUNCTION("""COMPUTED_VALUE"""),"Second Year (Graduation Year of Passing:- 2029)")</f>
        <v>Second Year (Graduation Year of Passing:- 2029)</v>
      </c>
      <c r="H71" s="34" t="str">
        <f ca="1">IFERROR(__xludf.DUMMYFUNCTION("""COMPUTED_VALUE"""),"CS")</f>
        <v>CS</v>
      </c>
      <c r="I71" s="11" t="str">
        <f ca="1">IFERROR(__xludf.DUMMYFUNCTION("""COMPUTED_VALUE"""),"Complete C2C (Aptitude + Soft Skills + Technical) training - Rs 3500/-")</f>
        <v>Complete C2C (Aptitude + Soft Skills + Technical) training - Rs 3500/-</v>
      </c>
      <c r="J71" s="67" t="str">
        <f ca="1">IFERROR(__xludf.DUMMYFUNCTION("""COMPUTED_VALUE"""),"https://drive.google.com/open?id=1cZ-hfpmLpriUihR0vzNfVm9Nfo58ZFkZ")</f>
        <v>https://drive.google.com/open?id=1cZ-hfpmLpriUihR0vzNfVm9Nfo58ZFkZ</v>
      </c>
      <c r="K71" s="44">
        <v>3500</v>
      </c>
      <c r="L71" s="64" t="s">
        <v>98</v>
      </c>
      <c r="M71" s="57" t="s">
        <v>101</v>
      </c>
      <c r="N71" s="37" t="s">
        <v>104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22.5" customHeight="1" x14ac:dyDescent="0.25">
      <c r="A72" s="29">
        <f ca="1">IFERROR(__xludf.DUMMYFUNCTION("""COMPUTED_VALUE"""),46244.5219666898)</f>
        <v>46244.521966689797</v>
      </c>
      <c r="B72" s="11" t="str">
        <f ca="1">IFERROR(__xludf.DUMMYFUNCTION("""COMPUTED_VALUE"""),"vu3f2526106@pvppcoe.ac.in")</f>
        <v>vu3f2526106@pvppcoe.ac.in</v>
      </c>
      <c r="C72" s="11" t="str">
        <f ca="1">IFERROR(__xludf.DUMMYFUNCTION("""COMPUTED_VALUE"""),"VU3F2526106 ")</f>
        <v xml:space="preserve">VU3F2526106 </v>
      </c>
      <c r="D72" s="11" t="str">
        <f ca="1">IFERROR(__xludf.DUMMYFUNCTION("""COMPUTED_VALUE"""),"vu3f2526106@pvppcoe.ac.in")</f>
        <v>vu3f2526106@pvppcoe.ac.in</v>
      </c>
      <c r="E72" s="11" t="str">
        <f ca="1">IFERROR(__xludf.DUMMYFUNCTION("""COMPUTED_VALUE"""),"Shubham Sunil Gaonkar ")</f>
        <v xml:space="preserve">Shubham Sunil Gaonkar </v>
      </c>
      <c r="F72" s="11">
        <f ca="1">IFERROR(__xludf.DUMMYFUNCTION("""COMPUTED_VALUE"""),9769697836)</f>
        <v>9769697836</v>
      </c>
      <c r="G72" s="11" t="str">
        <f ca="1">IFERROR(__xludf.DUMMYFUNCTION("""COMPUTED_VALUE"""),"Second Year (Graduation Year of Passing:- 2029)")</f>
        <v>Second Year (Graduation Year of Passing:- 2029)</v>
      </c>
      <c r="H72" s="34" t="str">
        <f ca="1">IFERROR(__xludf.DUMMYFUNCTION("""COMPUTED_VALUE"""),"ECS")</f>
        <v>ECS</v>
      </c>
      <c r="I72" s="11" t="str">
        <f ca="1">IFERROR(__xludf.DUMMYFUNCTION("""COMPUTED_VALUE"""),"Complete C2C (Aptitude + Soft Skills + Technical) training - Rs 3500/-")</f>
        <v>Complete C2C (Aptitude + Soft Skills + Technical) training - Rs 3500/-</v>
      </c>
      <c r="J72" s="67" t="str">
        <f ca="1">IFERROR(__xludf.DUMMYFUNCTION("""COMPUTED_VALUE"""),"https://drive.google.com/open?id=1vby1zZC-8UxK_PfrbJOIjOVEg0PD4oJv")</f>
        <v>https://drive.google.com/open?id=1vby1zZC-8UxK_PfrbJOIjOVEg0PD4oJv</v>
      </c>
      <c r="K72" s="37">
        <v>3500</v>
      </c>
      <c r="L72" s="65" t="s">
        <v>98</v>
      </c>
      <c r="M72" s="57" t="s">
        <v>101</v>
      </c>
      <c r="N72" s="37" t="s">
        <v>104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22.5" customHeight="1" x14ac:dyDescent="0.25">
      <c r="A73" s="29">
        <f ca="1">IFERROR(__xludf.DUMMYFUNCTION("""COMPUTED_VALUE"""),46244.0139905787)</f>
        <v>46244.0139905787</v>
      </c>
      <c r="B73" s="11" t="str">
        <f ca="1">IFERROR(__xludf.DUMMYFUNCTION("""COMPUTED_VALUE"""),"vu4f2526092@pvppcoe.ac.in")</f>
        <v>vu4f2526092@pvppcoe.ac.in</v>
      </c>
      <c r="C73" s="11" t="str">
        <f ca="1">IFERROR(__xludf.DUMMYFUNCTION("""COMPUTED_VALUE"""),"VU4F2526092")</f>
        <v>VU4F2526092</v>
      </c>
      <c r="D73" s="11" t="str">
        <f ca="1">IFERROR(__xludf.DUMMYFUNCTION("""COMPUTED_VALUE"""),"vu4f2526092@pvppcoe.ac.in")</f>
        <v>vu4f2526092@pvppcoe.ac.in</v>
      </c>
      <c r="E73" s="11" t="str">
        <f ca="1">IFERROR(__xludf.DUMMYFUNCTION("""COMPUTED_VALUE"""),"Rakte Kartik Ravindra")</f>
        <v>Rakte Kartik Ravindra</v>
      </c>
      <c r="F73" s="11">
        <f ca="1">IFERROR(__xludf.DUMMYFUNCTION("""COMPUTED_VALUE"""),9321650356)</f>
        <v>9321650356</v>
      </c>
      <c r="G73" s="11" t="str">
        <f ca="1">IFERROR(__xludf.DUMMYFUNCTION("""COMPUTED_VALUE"""),"Second Year (Graduation Year of Passing:- 2029)")</f>
        <v>Second Year (Graduation Year of Passing:- 2029)</v>
      </c>
      <c r="H73" s="34" t="str">
        <f ca="1">IFERROR(__xludf.DUMMYFUNCTION("""COMPUTED_VALUE"""),"IT")</f>
        <v>IT</v>
      </c>
      <c r="I73" s="11" t="str">
        <f ca="1">IFERROR(__xludf.DUMMYFUNCTION("""COMPUTED_VALUE"""),"Complete C2C (Aptitude + Soft Skills + Technical) training - Rs 3500/-")</f>
        <v>Complete C2C (Aptitude + Soft Skills + Technical) training - Rs 3500/-</v>
      </c>
      <c r="J73" s="67" t="str">
        <f ca="1">IFERROR(__xludf.DUMMYFUNCTION("""COMPUTED_VALUE"""),"https://drive.google.com/open?id=12ktarbDbU9j0HsGwH9co5gVGWh5o9eYS")</f>
        <v>https://drive.google.com/open?id=12ktarbDbU9j0HsGwH9co5gVGWh5o9eYS</v>
      </c>
      <c r="K73" s="44">
        <v>3500</v>
      </c>
      <c r="L73" s="45" t="s">
        <v>98</v>
      </c>
      <c r="M73" s="57" t="s">
        <v>101</v>
      </c>
      <c r="N73" s="37" t="s">
        <v>104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22.5" customHeight="1" x14ac:dyDescent="0.25">
      <c r="A74" s="29">
        <f ca="1">IFERROR(__xludf.DUMMYFUNCTION("""COMPUTED_VALUE"""),46243.9582795833)</f>
        <v>46243.958279583298</v>
      </c>
      <c r="B74" s="11" t="str">
        <f ca="1">IFERROR(__xludf.DUMMYFUNCTION("""COMPUTED_VALUE"""),"ayushsingh13042008@gmail.com")</f>
        <v>ayushsingh13042008@gmail.com</v>
      </c>
      <c r="C74" s="11" t="str">
        <f ca="1">IFERROR(__xludf.DUMMYFUNCTION("""COMPUTED_VALUE"""),"VU1F2526089")</f>
        <v>VU1F2526089</v>
      </c>
      <c r="D74" s="11" t="str">
        <f ca="1">IFERROR(__xludf.DUMMYFUNCTION("""COMPUTED_VALUE"""),"ayushsingh13042008@gmail.com")</f>
        <v>ayushsingh13042008@gmail.com</v>
      </c>
      <c r="E74" s="11" t="str">
        <f ca="1">IFERROR(__xludf.DUMMYFUNCTION("""COMPUTED_VALUE"""),"Singh Ayush Anil")</f>
        <v>Singh Ayush Anil</v>
      </c>
      <c r="F74" s="11">
        <f ca="1">IFERROR(__xludf.DUMMYFUNCTION("""COMPUTED_VALUE"""),7021145043)</f>
        <v>7021145043</v>
      </c>
      <c r="G74" s="11" t="str">
        <f ca="1">IFERROR(__xludf.DUMMYFUNCTION("""COMPUTED_VALUE"""),"Second Year (Graduation Year of Passing:- 2029)")</f>
        <v>Second Year (Graduation Year of Passing:- 2029)</v>
      </c>
      <c r="H74" s="34" t="str">
        <f ca="1">IFERROR(__xludf.DUMMYFUNCTION("""COMPUTED_VALUE"""),"CS")</f>
        <v>CS</v>
      </c>
      <c r="I74" s="11" t="str">
        <f ca="1">IFERROR(__xludf.DUMMYFUNCTION("""COMPUTED_VALUE"""),"Complete C2C (Aptitude + Soft Skills + Technical) training - Rs 3500/-")</f>
        <v>Complete C2C (Aptitude + Soft Skills + Technical) training - Rs 3500/-</v>
      </c>
      <c r="J74" s="67" t="str">
        <f ca="1">IFERROR(__xludf.DUMMYFUNCTION("""COMPUTED_VALUE"""),"https://drive.google.com/open?id=1yca-QFnGhBq4hLK3VqQvyYrX07GnvGp1")</f>
        <v>https://drive.google.com/open?id=1yca-QFnGhBq4hLK3VqQvyYrX07GnvGp1</v>
      </c>
      <c r="K74" s="37">
        <v>3500</v>
      </c>
      <c r="L74" s="65" t="s">
        <v>98</v>
      </c>
      <c r="M74" s="57" t="s">
        <v>101</v>
      </c>
      <c r="N74" s="37" t="s">
        <v>104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22.5" customHeight="1" x14ac:dyDescent="0.25">
      <c r="A75" s="29">
        <f ca="1">IFERROR(__xludf.DUMMYFUNCTION("""COMPUTED_VALUE"""),46243.9224997685)</f>
        <v>46243.922499768501</v>
      </c>
      <c r="B75" s="11" t="str">
        <f ca="1">IFERROR(__xludf.DUMMYFUNCTION("""COMPUTED_VALUE"""),"vu1f2526103@pvppcoe.ac.in")</f>
        <v>vu1f2526103@pvppcoe.ac.in</v>
      </c>
      <c r="C75" s="11" t="str">
        <f ca="1">IFERROR(__xludf.DUMMYFUNCTION("""COMPUTED_VALUE"""),"VU1F2526103 ")</f>
        <v xml:space="preserve">VU1F2526103 </v>
      </c>
      <c r="D75" s="11" t="str">
        <f ca="1">IFERROR(__xludf.DUMMYFUNCTION("""COMPUTED_VALUE"""),"vu1f2526103@pvppcoe.ac.in")</f>
        <v>vu1f2526103@pvppcoe.ac.in</v>
      </c>
      <c r="E75" s="11" t="str">
        <f ca="1">IFERROR(__xludf.DUMMYFUNCTION("""COMPUTED_VALUE"""),"KONDUSKAR SOHAM SAMBHAJI ")</f>
        <v xml:space="preserve">KONDUSKAR SOHAM SAMBHAJI </v>
      </c>
      <c r="F75" s="11">
        <f ca="1">IFERROR(__xludf.DUMMYFUNCTION("""COMPUTED_VALUE"""),8169157085)</f>
        <v>8169157085</v>
      </c>
      <c r="G75" s="11" t="str">
        <f ca="1">IFERROR(__xludf.DUMMYFUNCTION("""COMPUTED_VALUE"""),"Second Year (Graduation Year of Passing:- 2029)")</f>
        <v>Second Year (Graduation Year of Passing:- 2029)</v>
      </c>
      <c r="H75" s="34" t="str">
        <f ca="1">IFERROR(__xludf.DUMMYFUNCTION("""COMPUTED_VALUE"""),"CS")</f>
        <v>CS</v>
      </c>
      <c r="I75" s="11" t="str">
        <f ca="1">IFERROR(__xludf.DUMMYFUNCTION("""COMPUTED_VALUE"""),"Complete C2C (Aptitude + Soft Skills + Technical) training - Rs 3500/-")</f>
        <v>Complete C2C (Aptitude + Soft Skills + Technical) training - Rs 3500/-</v>
      </c>
      <c r="J75" s="67" t="str">
        <f ca="1">IFERROR(__xludf.DUMMYFUNCTION("""COMPUTED_VALUE"""),"https://drive.google.com/open?id=113A66ndEcp7S1Frlxtm7mFajZObOZO8l")</f>
        <v>https://drive.google.com/open?id=113A66ndEcp7S1Frlxtm7mFajZObOZO8l</v>
      </c>
      <c r="K75" s="44">
        <v>3500</v>
      </c>
      <c r="L75" s="64" t="s">
        <v>98</v>
      </c>
      <c r="M75" s="57" t="s">
        <v>101</v>
      </c>
      <c r="N75" s="37" t="s">
        <v>104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22.5" customHeight="1" x14ac:dyDescent="0.25">
      <c r="A76" s="29">
        <f ca="1">IFERROR(__xludf.DUMMYFUNCTION("""COMPUTED_VALUE"""),46243.8806918402)</f>
        <v>46243.880691840197</v>
      </c>
      <c r="B76" s="11" t="str">
        <f ca="1">IFERROR(__xludf.DUMMYFUNCTION("""COMPUTED_VALUE"""),"vu3f2526002@pvppcoe.ac.in")</f>
        <v>vu3f2526002@pvppcoe.ac.in</v>
      </c>
      <c r="C76" s="11" t="str">
        <f ca="1">IFERROR(__xludf.DUMMYFUNCTION("""COMPUTED_VALUE"""),"VU3F2526002 ")</f>
        <v xml:space="preserve">VU3F2526002 </v>
      </c>
      <c r="D76" s="11" t="str">
        <f ca="1">IFERROR(__xludf.DUMMYFUNCTION("""COMPUTED_VALUE"""),"vu3f2526002@pvppcoe.ac.in")</f>
        <v>vu3f2526002@pvppcoe.ac.in</v>
      </c>
      <c r="E76" s="11" t="str">
        <f ca="1">IFERROR(__xludf.DUMMYFUNCTION("""COMPUTED_VALUE"""),"Yadav Amit Prem Kumar ")</f>
        <v xml:space="preserve">Yadav Amit Prem Kumar </v>
      </c>
      <c r="F76" s="11">
        <f ca="1">IFERROR(__xludf.DUMMYFUNCTION("""COMPUTED_VALUE"""),9702736674)</f>
        <v>9702736674</v>
      </c>
      <c r="G76" s="11" t="str">
        <f ca="1">IFERROR(__xludf.DUMMYFUNCTION("""COMPUTED_VALUE"""),"Second Year (Graduation Year of Passing:- 2029)")</f>
        <v>Second Year (Graduation Year of Passing:- 2029)</v>
      </c>
      <c r="H76" s="34" t="str">
        <f ca="1">IFERROR(__xludf.DUMMYFUNCTION("""COMPUTED_VALUE"""),"ECS")</f>
        <v>ECS</v>
      </c>
      <c r="I76" s="11" t="str">
        <f ca="1">IFERROR(__xludf.DUMMYFUNCTION("""COMPUTED_VALUE"""),"Complete C2C (Aptitude + Soft Skills + Technical) training - Rs 3500/-")</f>
        <v>Complete C2C (Aptitude + Soft Skills + Technical) training - Rs 3500/-</v>
      </c>
      <c r="J76" s="67" t="str">
        <f ca="1">IFERROR(__xludf.DUMMYFUNCTION("""COMPUTED_VALUE"""),"https://drive.google.com/open?id=1xaWnI3tyn6fUM6fna_5qSBndzobY9hu2")</f>
        <v>https://drive.google.com/open?id=1xaWnI3tyn6fUM6fna_5qSBndzobY9hu2</v>
      </c>
      <c r="K76" s="37">
        <v>3500</v>
      </c>
      <c r="L76" s="65" t="s">
        <v>98</v>
      </c>
      <c r="M76" s="57" t="s">
        <v>101</v>
      </c>
      <c r="N76" s="37" t="s">
        <v>104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22.5" customHeight="1" x14ac:dyDescent="0.25">
      <c r="A77" s="29">
        <f ca="1">IFERROR(__xludf.DUMMYFUNCTION("""COMPUTED_VALUE"""),46243.842514375)</f>
        <v>46243.842514374999</v>
      </c>
      <c r="B77" s="11" t="str">
        <f ca="1">IFERROR(__xludf.DUMMYFUNCTION("""COMPUTED_VALUE"""),"vu1f2526052@pvppcoe.ac.in")</f>
        <v>vu1f2526052@pvppcoe.ac.in</v>
      </c>
      <c r="C77" s="11" t="str">
        <f ca="1">IFERROR(__xludf.DUMMYFUNCTION("""COMPUTED_VALUE"""),"VU1F2526052 ")</f>
        <v xml:space="preserve">VU1F2526052 </v>
      </c>
      <c r="D77" s="11" t="str">
        <f ca="1">IFERROR(__xludf.DUMMYFUNCTION("""COMPUTED_VALUE"""),"vu1f2526052@pvppcoe.ac.in")</f>
        <v>vu1f2526052@pvppcoe.ac.in</v>
      </c>
      <c r="E77" s="11" t="str">
        <f ca="1">IFERROR(__xludf.DUMMYFUNCTION("""COMPUTED_VALUE"""),"Dhule Devang Ramesh ")</f>
        <v xml:space="preserve">Dhule Devang Ramesh </v>
      </c>
      <c r="F77" s="11">
        <f ca="1">IFERROR(__xludf.DUMMYFUNCTION("""COMPUTED_VALUE"""),9822460453)</f>
        <v>9822460453</v>
      </c>
      <c r="G77" s="11" t="str">
        <f ca="1">IFERROR(__xludf.DUMMYFUNCTION("""COMPUTED_VALUE"""),"Second Year (Graduation Year of Passing:- 2029)")</f>
        <v>Second Year (Graduation Year of Passing:- 2029)</v>
      </c>
      <c r="H77" s="34" t="str">
        <f ca="1">IFERROR(__xludf.DUMMYFUNCTION("""COMPUTED_VALUE"""),"CS")</f>
        <v>CS</v>
      </c>
      <c r="I77" s="11" t="str">
        <f ca="1">IFERROR(__xludf.DUMMYFUNCTION("""COMPUTED_VALUE"""),"Complete C2C (Aptitude + Soft Skills + Technical) training - Rs 3500/-")</f>
        <v>Complete C2C (Aptitude + Soft Skills + Technical) training - Rs 3500/-</v>
      </c>
      <c r="J77" s="67" t="str">
        <f ca="1">IFERROR(__xludf.DUMMYFUNCTION("""COMPUTED_VALUE"""),"https://drive.google.com/open?id=1yGjb_6tyHI6oXiDgtIfeyeTcPujxdcBL")</f>
        <v>https://drive.google.com/open?id=1yGjb_6tyHI6oXiDgtIfeyeTcPujxdcBL</v>
      </c>
      <c r="K77" s="44">
        <v>3500</v>
      </c>
      <c r="L77" s="64" t="s">
        <v>98</v>
      </c>
      <c r="M77" s="57" t="s">
        <v>101</v>
      </c>
      <c r="N77" s="37" t="s">
        <v>104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22.5" customHeight="1" x14ac:dyDescent="0.25">
      <c r="A78" s="29">
        <f ca="1">IFERROR(__xludf.DUMMYFUNCTION("""COMPUTED_VALUE"""),46243.8293371643)</f>
        <v>46243.829337164301</v>
      </c>
      <c r="B78" s="11" t="str">
        <f ca="1">IFERROR(__xludf.DUMMYFUNCTION("""COMPUTED_VALUE"""),"vu1f2526116@pvppcoe.ac.in")</f>
        <v>vu1f2526116@pvppcoe.ac.in</v>
      </c>
      <c r="C78" s="11" t="str">
        <f ca="1">IFERROR(__xludf.DUMMYFUNCTION("""COMPUTED_VALUE"""),"VU1F2526116 ")</f>
        <v xml:space="preserve">VU1F2526116 </v>
      </c>
      <c r="D78" s="11" t="str">
        <f ca="1">IFERROR(__xludf.DUMMYFUNCTION("""COMPUTED_VALUE"""),"vu1f2526116@pvppcoe.ac.in")</f>
        <v>vu1f2526116@pvppcoe.ac.in</v>
      </c>
      <c r="E78" s="11" t="str">
        <f ca="1">IFERROR(__xludf.DUMMYFUNCTION("""COMPUTED_VALUE"""),"Patil Ishita Rakesh")</f>
        <v>Patil Ishita Rakesh</v>
      </c>
      <c r="F78" s="11">
        <f ca="1">IFERROR(__xludf.DUMMYFUNCTION("""COMPUTED_VALUE"""),9987502452)</f>
        <v>9987502452</v>
      </c>
      <c r="G78" s="11" t="str">
        <f ca="1">IFERROR(__xludf.DUMMYFUNCTION("""COMPUTED_VALUE"""),"Second Year (Graduation Year of Passing:- 2029)")</f>
        <v>Second Year (Graduation Year of Passing:- 2029)</v>
      </c>
      <c r="H78" s="34" t="str">
        <f ca="1">IFERROR(__xludf.DUMMYFUNCTION("""COMPUTED_VALUE"""),"CS")</f>
        <v>CS</v>
      </c>
      <c r="I78" s="11" t="str">
        <f ca="1">IFERROR(__xludf.DUMMYFUNCTION("""COMPUTED_VALUE"""),"Complete C2C (Aptitude + Soft Skills + Technical) training - Rs 3500/-")</f>
        <v>Complete C2C (Aptitude + Soft Skills + Technical) training - Rs 3500/-</v>
      </c>
      <c r="J78" s="67" t="str">
        <f ca="1">IFERROR(__xludf.DUMMYFUNCTION("""COMPUTED_VALUE"""),"https://drive.google.com/open?id=1H7e6RdeI4edULu9JsTCLbwPMJ0HBcifJ")</f>
        <v>https://drive.google.com/open?id=1H7e6RdeI4edULu9JsTCLbwPMJ0HBcifJ</v>
      </c>
      <c r="K78" s="37">
        <v>3500</v>
      </c>
      <c r="L78" s="65" t="s">
        <v>98</v>
      </c>
      <c r="M78" s="65" t="s">
        <v>101</v>
      </c>
      <c r="N78" s="37" t="s">
        <v>104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22.5" customHeight="1" x14ac:dyDescent="0.25">
      <c r="A79" s="29">
        <f ca="1">IFERROR(__xludf.DUMMYFUNCTION("""COMPUTED_VALUE"""),46243.8246921296)</f>
        <v>46243.824692129601</v>
      </c>
      <c r="B79" s="11" t="str">
        <f ca="1">IFERROR(__xludf.DUMMYFUNCTION("""COMPUTED_VALUE"""),"vu3f2526005@pvppcoe.ac.in")</f>
        <v>vu3f2526005@pvppcoe.ac.in</v>
      </c>
      <c r="C79" s="11" t="str">
        <f ca="1">IFERROR(__xludf.DUMMYFUNCTION("""COMPUTED_VALUE"""),"VU3F2526005")</f>
        <v>VU3F2526005</v>
      </c>
      <c r="D79" s="11" t="str">
        <f ca="1">IFERROR(__xludf.DUMMYFUNCTION("""COMPUTED_VALUE"""),"vu3f2526005@pvppcoe.ac.in")</f>
        <v>vu3f2526005@pvppcoe.ac.in</v>
      </c>
      <c r="E79" s="11" t="str">
        <f ca="1">IFERROR(__xludf.DUMMYFUNCTION("""COMPUTED_VALUE"""),"Khochare Sai Pramod ")</f>
        <v xml:space="preserve">Khochare Sai Pramod </v>
      </c>
      <c r="F79" s="11">
        <f ca="1">IFERROR(__xludf.DUMMYFUNCTION("""COMPUTED_VALUE"""),8424849235)</f>
        <v>8424849235</v>
      </c>
      <c r="G79" s="11" t="str">
        <f ca="1">IFERROR(__xludf.DUMMYFUNCTION("""COMPUTED_VALUE"""),"Second Year (Graduation Year of Passing:- 2029)")</f>
        <v>Second Year (Graduation Year of Passing:- 2029)</v>
      </c>
      <c r="H79" s="34" t="str">
        <f ca="1">IFERROR(__xludf.DUMMYFUNCTION("""COMPUTED_VALUE"""),"ECS")</f>
        <v>ECS</v>
      </c>
      <c r="I79" s="11" t="str">
        <f ca="1">IFERROR(__xludf.DUMMYFUNCTION("""COMPUTED_VALUE"""),"Complete C2C (Aptitude + Soft Skills + Technical) training - Rs 3500/-")</f>
        <v>Complete C2C (Aptitude + Soft Skills + Technical) training - Rs 3500/-</v>
      </c>
      <c r="J79" s="67" t="str">
        <f ca="1">IFERROR(__xludf.DUMMYFUNCTION("""COMPUTED_VALUE"""),"https://drive.google.com/open?id=1BpQaP3Ldz8aeJfBgtburAopVV2ef4S4_")</f>
        <v>https://drive.google.com/open?id=1BpQaP3Ldz8aeJfBgtburAopVV2ef4S4_</v>
      </c>
      <c r="K79" s="44">
        <v>3500</v>
      </c>
      <c r="L79" s="64" t="s">
        <v>98</v>
      </c>
      <c r="M79" s="65" t="s">
        <v>101</v>
      </c>
      <c r="N79" s="37" t="s">
        <v>104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22.5" customHeight="1" x14ac:dyDescent="0.25">
      <c r="A80" s="29">
        <f ca="1">IFERROR(__xludf.DUMMYFUNCTION("""COMPUTED_VALUE"""),46243.8219108796)</f>
        <v>46243.821910879597</v>
      </c>
      <c r="B80" s="11" t="str">
        <f ca="1">IFERROR(__xludf.DUMMYFUNCTION("""COMPUTED_VALUE"""),"vu3f2526077@pvppcoe.ac.in")</f>
        <v>vu3f2526077@pvppcoe.ac.in</v>
      </c>
      <c r="C80" s="11" t="str">
        <f ca="1">IFERROR(__xludf.DUMMYFUNCTION("""COMPUTED_VALUE"""),"VU3F2526077")</f>
        <v>VU3F2526077</v>
      </c>
      <c r="D80" s="11" t="str">
        <f ca="1">IFERROR(__xludf.DUMMYFUNCTION("""COMPUTED_VALUE"""),"vu3f2526077@pvppcoe.ac.in")</f>
        <v>vu3f2526077@pvppcoe.ac.in</v>
      </c>
      <c r="E80" s="11" t="str">
        <f ca="1">IFERROR(__xludf.DUMMYFUNCTION("""COMPUTED_VALUE"""),"Sahu sruti bhullu ")</f>
        <v xml:space="preserve">Sahu sruti bhullu </v>
      </c>
      <c r="F80" s="11">
        <f ca="1">IFERROR(__xludf.DUMMYFUNCTION("""COMPUTED_VALUE"""),9372970230)</f>
        <v>9372970230</v>
      </c>
      <c r="G80" s="11" t="str">
        <f ca="1">IFERROR(__xludf.DUMMYFUNCTION("""COMPUTED_VALUE"""),"Second Year (Graduation Year of Passing:- 2029)")</f>
        <v>Second Year (Graduation Year of Passing:- 2029)</v>
      </c>
      <c r="H80" s="34" t="str">
        <f ca="1">IFERROR(__xludf.DUMMYFUNCTION("""COMPUTED_VALUE"""),"ECS")</f>
        <v>ECS</v>
      </c>
      <c r="I80" s="11" t="str">
        <f ca="1">IFERROR(__xludf.DUMMYFUNCTION("""COMPUTED_VALUE"""),"Complete C2C (Aptitude + Soft Skills + Technical) training - Rs 3500/-")</f>
        <v>Complete C2C (Aptitude + Soft Skills + Technical) training - Rs 3500/-</v>
      </c>
      <c r="J80" s="67" t="str">
        <f ca="1">IFERROR(__xludf.DUMMYFUNCTION("""COMPUTED_VALUE"""),"https://drive.google.com/open?id=13BeakJOvbyhK2y58n7ZDHnv7Wz-2hSD4")</f>
        <v>https://drive.google.com/open?id=13BeakJOvbyhK2y58n7ZDHnv7Wz-2hSD4</v>
      </c>
      <c r="K80" s="37">
        <v>3500</v>
      </c>
      <c r="L80" s="65" t="s">
        <v>98</v>
      </c>
      <c r="M80" s="65" t="s">
        <v>101</v>
      </c>
      <c r="N80" s="37" t="s">
        <v>104</v>
      </c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22.5" customHeight="1" x14ac:dyDescent="0.25">
      <c r="A81" s="29">
        <f ca="1">IFERROR(__xludf.DUMMYFUNCTION("""COMPUTED_VALUE"""),46243.6802309837)</f>
        <v>46243.6802309837</v>
      </c>
      <c r="B81" s="11" t="str">
        <f ca="1">IFERROR(__xludf.DUMMYFUNCTION("""COMPUTED_VALUE"""),"vu4f2526091@pvppcoe.ac.in")</f>
        <v>vu4f2526091@pvppcoe.ac.in</v>
      </c>
      <c r="C81" s="11" t="str">
        <f ca="1">IFERROR(__xludf.DUMMYFUNCTION("""COMPUTED_VALUE"""),"VU4F2526091 ")</f>
        <v xml:space="preserve">VU4F2526091 </v>
      </c>
      <c r="D81" s="11" t="str">
        <f ca="1">IFERROR(__xludf.DUMMYFUNCTION("""COMPUTED_VALUE"""),"vu4f2526091@pvppcoe.ac.in")</f>
        <v>vu4f2526091@pvppcoe.ac.in</v>
      </c>
      <c r="E81" s="11" t="str">
        <f ca="1">IFERROR(__xludf.DUMMYFUNCTION("""COMPUTED_VALUE"""),"Ravriya Shiv ")</f>
        <v xml:space="preserve">Ravriya Shiv </v>
      </c>
      <c r="F81" s="11">
        <f ca="1">IFERROR(__xludf.DUMMYFUNCTION("""COMPUTED_VALUE"""),9967825092)</f>
        <v>9967825092</v>
      </c>
      <c r="G81" s="11" t="str">
        <f ca="1">IFERROR(__xludf.DUMMYFUNCTION("""COMPUTED_VALUE"""),"Second Year (Graduation Year of Passing:- 2029)")</f>
        <v>Second Year (Graduation Year of Passing:- 2029)</v>
      </c>
      <c r="H81" s="34" t="str">
        <f ca="1">IFERROR(__xludf.DUMMYFUNCTION("""COMPUTED_VALUE"""),"IT")</f>
        <v>IT</v>
      </c>
      <c r="I81" s="11" t="str">
        <f ca="1">IFERROR(__xludf.DUMMYFUNCTION("""COMPUTED_VALUE"""),"Complete C2C (Aptitude + Soft Skills + Technical) training - Rs 3500/-")</f>
        <v>Complete C2C (Aptitude + Soft Skills + Technical) training - Rs 3500/-</v>
      </c>
      <c r="J81" s="36" t="str">
        <f ca="1">IFERROR(__xludf.DUMMYFUNCTION("""COMPUTED_VALUE"""),"https://drive.google.com/open?id=1C9n_lvyEaqo5OCjYMx6zy4z42DRHdBHe")</f>
        <v>https://drive.google.com/open?id=1C9n_lvyEaqo5OCjYMx6zy4z42DRHdBHe</v>
      </c>
      <c r="K81" s="44">
        <v>3500</v>
      </c>
      <c r="L81" s="45" t="s">
        <v>429</v>
      </c>
      <c r="M81" s="38" t="s">
        <v>101</v>
      </c>
      <c r="N81" s="37" t="s">
        <v>104</v>
      </c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22.5" customHeight="1" x14ac:dyDescent="0.25">
      <c r="A82" s="29">
        <f ca="1">IFERROR(__xludf.DUMMYFUNCTION("""COMPUTED_VALUE"""),46243.533052824)</f>
        <v>46243.533052824001</v>
      </c>
      <c r="B82" s="11" t="str">
        <f ca="1">IFERROR(__xludf.DUMMYFUNCTION("""COMPUTED_VALUE"""),"vu1f2526042@pvppcoe.ac.in")</f>
        <v>vu1f2526042@pvppcoe.ac.in</v>
      </c>
      <c r="C82" s="11" t="str">
        <f ca="1">IFERROR(__xludf.DUMMYFUNCTION("""COMPUTED_VALUE"""),"VU1F2526042")</f>
        <v>VU1F2526042</v>
      </c>
      <c r="D82" s="11" t="str">
        <f ca="1">IFERROR(__xludf.DUMMYFUNCTION("""COMPUTED_VALUE"""),"vu1f2526042@pvppcoe.ac.in")</f>
        <v>vu1f2526042@pvppcoe.ac.in</v>
      </c>
      <c r="E82" s="11" t="str">
        <f ca="1">IFERROR(__xludf.DUMMYFUNCTION("""COMPUTED_VALUE"""),"Jadhav Kunal Dattatray ")</f>
        <v xml:space="preserve">Jadhav Kunal Dattatray </v>
      </c>
      <c r="F82" s="11">
        <f ca="1">IFERROR(__xludf.DUMMYFUNCTION("""COMPUTED_VALUE"""),9076219025)</f>
        <v>9076219025</v>
      </c>
      <c r="G82" s="11" t="str">
        <f ca="1">IFERROR(__xludf.DUMMYFUNCTION("""COMPUTED_VALUE"""),"Second Year (Graduation Year of Passing:- 2029)")</f>
        <v>Second Year (Graduation Year of Passing:- 2029)</v>
      </c>
      <c r="H82" s="34" t="str">
        <f ca="1">IFERROR(__xludf.DUMMYFUNCTION("""COMPUTED_VALUE"""),"CS")</f>
        <v>CS</v>
      </c>
      <c r="I82" s="11" t="str">
        <f ca="1">IFERROR(__xludf.DUMMYFUNCTION("""COMPUTED_VALUE"""),"Complete C2C (Aptitude + Soft Skills + Technical) training - Rs 3500/-")</f>
        <v>Complete C2C (Aptitude + Soft Skills + Technical) training - Rs 3500/-</v>
      </c>
      <c r="J82" s="36" t="str">
        <f ca="1">IFERROR(__xludf.DUMMYFUNCTION("""COMPUTED_VALUE"""),"https://drive.google.com/open?id=1OHVb6kMFU4ePF-rAtVmcwWsl4SyB6tJf")</f>
        <v>https://drive.google.com/open?id=1OHVb6kMFU4ePF-rAtVmcwWsl4SyB6tJf</v>
      </c>
      <c r="K82" s="37">
        <v>3500</v>
      </c>
      <c r="L82" s="38" t="s">
        <v>429</v>
      </c>
      <c r="M82" s="38" t="s">
        <v>101</v>
      </c>
      <c r="N82" s="37" t="s">
        <v>104</v>
      </c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22.5" customHeight="1" x14ac:dyDescent="0.25">
      <c r="A83" s="29">
        <f ca="1">IFERROR(__xludf.DUMMYFUNCTION("""COMPUTED_VALUE"""),46243.5258314236)</f>
        <v>46243.525831423598</v>
      </c>
      <c r="B83" s="11" t="str">
        <f ca="1">IFERROR(__xludf.DUMMYFUNCTION("""COMPUTED_VALUE"""),"vu3f2526011@pvppcoe.ac.in")</f>
        <v>vu3f2526011@pvppcoe.ac.in</v>
      </c>
      <c r="C83" s="11" t="str">
        <f ca="1">IFERROR(__xludf.DUMMYFUNCTION("""COMPUTED_VALUE"""),"VU3F2526011 ")</f>
        <v xml:space="preserve">VU3F2526011 </v>
      </c>
      <c r="D83" s="11" t="str">
        <f ca="1">IFERROR(__xludf.DUMMYFUNCTION("""COMPUTED_VALUE"""),"vu3f2526011@pvppcoe.ac.in")</f>
        <v>vu3f2526011@pvppcoe.ac.in</v>
      </c>
      <c r="E83" s="11" t="str">
        <f ca="1">IFERROR(__xludf.DUMMYFUNCTION("""COMPUTED_VALUE"""),"Shinde Swaraj Vinod ")</f>
        <v xml:space="preserve">Shinde Swaraj Vinod </v>
      </c>
      <c r="F83" s="11">
        <f ca="1">IFERROR(__xludf.DUMMYFUNCTION("""COMPUTED_VALUE"""),8369603718)</f>
        <v>8369603718</v>
      </c>
      <c r="G83" s="11" t="str">
        <f ca="1">IFERROR(__xludf.DUMMYFUNCTION("""COMPUTED_VALUE"""),"Second Year (Graduation Year of Passing:- 2029)")</f>
        <v>Second Year (Graduation Year of Passing:- 2029)</v>
      </c>
      <c r="H83" s="34" t="str">
        <f ca="1">IFERROR(__xludf.DUMMYFUNCTION("""COMPUTED_VALUE"""),"ECS")</f>
        <v>ECS</v>
      </c>
      <c r="I83" s="11" t="str">
        <f ca="1">IFERROR(__xludf.DUMMYFUNCTION("""COMPUTED_VALUE"""),"Complete C2C (Aptitude + Soft Skills + Technical) training - Rs 3500/-")</f>
        <v>Complete C2C (Aptitude + Soft Skills + Technical) training - Rs 3500/-</v>
      </c>
      <c r="J83" s="36" t="str">
        <f ca="1">IFERROR(__xludf.DUMMYFUNCTION("""COMPUTED_VALUE"""),"https://drive.google.com/open?id=10Hyy_o-l-Czcvw6L_nnhyWxHnt7XhaxZ")</f>
        <v>https://drive.google.com/open?id=10Hyy_o-l-Czcvw6L_nnhyWxHnt7XhaxZ</v>
      </c>
      <c r="K83" s="44">
        <v>3500</v>
      </c>
      <c r="L83" s="45" t="s">
        <v>429</v>
      </c>
      <c r="M83" s="38" t="s">
        <v>101</v>
      </c>
      <c r="N83" s="37" t="s">
        <v>104</v>
      </c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22.5" customHeight="1" x14ac:dyDescent="0.25">
      <c r="A84" s="29">
        <f ca="1">IFERROR(__xludf.DUMMYFUNCTION("""COMPUTED_VALUE"""),46242.9604891666)</f>
        <v>46242.960489166602</v>
      </c>
      <c r="B84" s="11" t="str">
        <f ca="1">IFERROR(__xludf.DUMMYFUNCTION("""COMPUTED_VALUE"""),"yashgosavi4256@gmail.com")</f>
        <v>yashgosavi4256@gmail.com</v>
      </c>
      <c r="C84" s="11" t="str">
        <f ca="1">IFERROR(__xludf.DUMMYFUNCTION("""COMPUTED_VALUE"""),"VU4F2526070")</f>
        <v>VU4F2526070</v>
      </c>
      <c r="D84" s="11" t="str">
        <f ca="1">IFERROR(__xludf.DUMMYFUNCTION("""COMPUTED_VALUE"""),"vu4f2526070@pvppcoe.ac.in")</f>
        <v>vu4f2526070@pvppcoe.ac.in</v>
      </c>
      <c r="E84" s="11" t="str">
        <f ca="1">IFERROR(__xludf.DUMMYFUNCTION("""COMPUTED_VALUE"""),"Giri Yash Raju")</f>
        <v>Giri Yash Raju</v>
      </c>
      <c r="F84" s="11">
        <f ca="1">IFERROR(__xludf.DUMMYFUNCTION("""COMPUTED_VALUE"""),9822240877)</f>
        <v>9822240877</v>
      </c>
      <c r="G84" s="11" t="str">
        <f ca="1">IFERROR(__xludf.DUMMYFUNCTION("""COMPUTED_VALUE"""),"Second Year (Graduation Year of Passing:- 2029)")</f>
        <v>Second Year (Graduation Year of Passing:- 2029)</v>
      </c>
      <c r="H84" s="34" t="str">
        <f ca="1">IFERROR(__xludf.DUMMYFUNCTION("""COMPUTED_VALUE"""),"IT")</f>
        <v>IT</v>
      </c>
      <c r="I84" s="11" t="str">
        <f ca="1">IFERROR(__xludf.DUMMYFUNCTION("""COMPUTED_VALUE"""),"Complete C2C (Aptitude + Soft Skills + Technical) training - Rs 3500/-")</f>
        <v>Complete C2C (Aptitude + Soft Skills + Technical) training - Rs 3500/-</v>
      </c>
      <c r="J84" s="36" t="str">
        <f ca="1">IFERROR(__xludf.DUMMYFUNCTION("""COMPUTED_VALUE"""),"https://drive.google.com/open?id=1i1vUcyKpVthcrDATTILlDQ1ZffrmckOF")</f>
        <v>https://drive.google.com/open?id=1i1vUcyKpVthcrDATTILlDQ1ZffrmckOF</v>
      </c>
      <c r="K84" s="37">
        <v>3500</v>
      </c>
      <c r="L84" s="38" t="s">
        <v>429</v>
      </c>
      <c r="M84" s="38" t="s">
        <v>101</v>
      </c>
      <c r="N84" s="37" t="s">
        <v>104</v>
      </c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22.5" customHeight="1" x14ac:dyDescent="0.25">
      <c r="A85" s="29">
        <f ca="1">IFERROR(__xludf.DUMMYFUNCTION("""COMPUTED_VALUE"""),46242.9458736805)</f>
        <v>46242.945873680503</v>
      </c>
      <c r="B85" s="11" t="str">
        <f ca="1">IFERROR(__xludf.DUMMYFUNCTION("""COMPUTED_VALUE"""),"vu4f2526070@pvppcoe.ac.in")</f>
        <v>vu4f2526070@pvppcoe.ac.in</v>
      </c>
      <c r="C85" s="11" t="str">
        <f ca="1">IFERROR(__xludf.DUMMYFUNCTION("""COMPUTED_VALUE"""),"VU4F2526076")</f>
        <v>VU4F2526076</v>
      </c>
      <c r="D85" s="11" t="str">
        <f ca="1">IFERROR(__xludf.DUMMYFUNCTION("""COMPUTED_VALUE"""),"vu4f2526076@pvppcoe.ac.in")</f>
        <v>vu4f2526076@pvppcoe.ac.in</v>
      </c>
      <c r="E85" s="11" t="str">
        <f ca="1">IFERROR(__xludf.DUMMYFUNCTION("""COMPUTED_VALUE"""),"Patil Nidhi Deepak")</f>
        <v>Patil Nidhi Deepak</v>
      </c>
      <c r="F85" s="11">
        <f ca="1">IFERROR(__xludf.DUMMYFUNCTION("""COMPUTED_VALUE"""),7021646554)</f>
        <v>7021646554</v>
      </c>
      <c r="G85" s="11" t="str">
        <f ca="1">IFERROR(__xludf.DUMMYFUNCTION("""COMPUTED_VALUE"""),"Second Year (Graduation Year of Passing:- 2029)")</f>
        <v>Second Year (Graduation Year of Passing:- 2029)</v>
      </c>
      <c r="H85" s="34" t="str">
        <f ca="1">IFERROR(__xludf.DUMMYFUNCTION("""COMPUTED_VALUE"""),"IT")</f>
        <v>IT</v>
      </c>
      <c r="I85" s="11" t="str">
        <f ca="1">IFERROR(__xludf.DUMMYFUNCTION("""COMPUTED_VALUE"""),"Complete C2C (Aptitude + Soft Skills + Technical) training - Rs 3500/-")</f>
        <v>Complete C2C (Aptitude + Soft Skills + Technical) training - Rs 3500/-</v>
      </c>
      <c r="J85" s="36" t="str">
        <f ca="1">IFERROR(__xludf.DUMMYFUNCTION("""COMPUTED_VALUE"""),"https://drive.google.com/open?id=1zAf8HACB3hQkDebVCM62YFWRkz9DBR6H")</f>
        <v>https://drive.google.com/open?id=1zAf8HACB3hQkDebVCM62YFWRkz9DBR6H</v>
      </c>
      <c r="K85" s="44">
        <v>3500</v>
      </c>
      <c r="L85" s="45" t="s">
        <v>429</v>
      </c>
      <c r="M85" s="38" t="s">
        <v>101</v>
      </c>
      <c r="N85" s="37" t="s">
        <v>104</v>
      </c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22.5" customHeight="1" x14ac:dyDescent="0.25">
      <c r="A86" s="29">
        <f ca="1">IFERROR(__xludf.DUMMYFUNCTION("""COMPUTED_VALUE"""),46242.891869375)</f>
        <v>46242.891869375002</v>
      </c>
      <c r="B86" s="11" t="str">
        <f ca="1">IFERROR(__xludf.DUMMYFUNCTION("""COMPUTED_VALUE"""),"vu1f2526038@pvppcoe.ac.in")</f>
        <v>vu1f2526038@pvppcoe.ac.in</v>
      </c>
      <c r="C86" s="11" t="str">
        <f ca="1">IFERROR(__xludf.DUMMYFUNCTION("""COMPUTED_VALUE"""),"VU1F2526038")</f>
        <v>VU1F2526038</v>
      </c>
      <c r="D86" s="11" t="str">
        <f ca="1">IFERROR(__xludf.DUMMYFUNCTION("""COMPUTED_VALUE"""),"vu1f2526038@pvppcoe.ac.in")</f>
        <v>vu1f2526038@pvppcoe.ac.in</v>
      </c>
      <c r="E86" s="11" t="str">
        <f ca="1">IFERROR(__xludf.DUMMYFUNCTION("""COMPUTED_VALUE"""),"Singh Manan Vinay")</f>
        <v>Singh Manan Vinay</v>
      </c>
      <c r="F86" s="11">
        <f ca="1">IFERROR(__xludf.DUMMYFUNCTION("""COMPUTED_VALUE"""),8369598970)</f>
        <v>8369598970</v>
      </c>
      <c r="G86" s="11" t="str">
        <f ca="1">IFERROR(__xludf.DUMMYFUNCTION("""COMPUTED_VALUE"""),"Second Year (Graduation Year of Passing:- 2029)")</f>
        <v>Second Year (Graduation Year of Passing:- 2029)</v>
      </c>
      <c r="H86" s="34" t="str">
        <f ca="1">IFERROR(__xludf.DUMMYFUNCTION("""COMPUTED_VALUE"""),"CS")</f>
        <v>CS</v>
      </c>
      <c r="I86" s="11" t="str">
        <f ca="1">IFERROR(__xludf.DUMMYFUNCTION("""COMPUTED_VALUE"""),"Complete C2C (Aptitude + Soft Skills + Technical) training - Rs 3500/-")</f>
        <v>Complete C2C (Aptitude + Soft Skills + Technical) training - Rs 3500/-</v>
      </c>
      <c r="J86" s="36" t="str">
        <f ca="1">IFERROR(__xludf.DUMMYFUNCTION("""COMPUTED_VALUE"""),"https://drive.google.com/open?id=1b3G_U523vcH7hfgNmABN_0nmKWNBNayK")</f>
        <v>https://drive.google.com/open?id=1b3G_U523vcH7hfgNmABN_0nmKWNBNayK</v>
      </c>
      <c r="K86" s="37">
        <v>3500</v>
      </c>
      <c r="L86" s="38" t="s">
        <v>429</v>
      </c>
      <c r="M86" s="38" t="s">
        <v>101</v>
      </c>
      <c r="N86" s="37" t="s">
        <v>104</v>
      </c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22.5" customHeight="1" x14ac:dyDescent="0.25">
      <c r="A87" s="29">
        <f ca="1">IFERROR(__xludf.DUMMYFUNCTION("""COMPUTED_VALUE"""),46241.8223433564)</f>
        <v>46241.822343356398</v>
      </c>
      <c r="B87" s="11" t="str">
        <f ca="1">IFERROR(__xludf.DUMMYFUNCTION("""COMPUTED_VALUE"""),"vu3f2526100@pvppcoe.ac.in")</f>
        <v>vu3f2526100@pvppcoe.ac.in</v>
      </c>
      <c r="C87" s="11" t="str">
        <f ca="1">IFERROR(__xludf.DUMMYFUNCTION("""COMPUTED_VALUE"""),"VU3F2526100 ")</f>
        <v xml:space="preserve">VU3F2526100 </v>
      </c>
      <c r="D87" s="11" t="str">
        <f ca="1">IFERROR(__xludf.DUMMYFUNCTION("""COMPUTED_VALUE"""),"vu3f2526100@pvppcoe.ac.in")</f>
        <v>vu3f2526100@pvppcoe.ac.in</v>
      </c>
      <c r="E87" s="11" t="str">
        <f ca="1">IFERROR(__xludf.DUMMYFUNCTION("""COMPUTED_VALUE"""),"Salvi Shivam Dinesh ")</f>
        <v xml:space="preserve">Salvi Shivam Dinesh </v>
      </c>
      <c r="F87" s="11">
        <f ca="1">IFERROR(__xludf.DUMMYFUNCTION("""COMPUTED_VALUE"""),8928806126)</f>
        <v>8928806126</v>
      </c>
      <c r="G87" s="11" t="str">
        <f ca="1">IFERROR(__xludf.DUMMYFUNCTION("""COMPUTED_VALUE"""),"Second Year (Graduation Year of Passing:- 2029)")</f>
        <v>Second Year (Graduation Year of Passing:- 2029)</v>
      </c>
      <c r="H87" s="34" t="str">
        <f ca="1">IFERROR(__xludf.DUMMYFUNCTION("""COMPUTED_VALUE"""),"CS")</f>
        <v>CS</v>
      </c>
      <c r="I87" s="11" t="str">
        <f ca="1">IFERROR(__xludf.DUMMYFUNCTION("""COMPUTED_VALUE"""),"Complete C2C (Aptitude + Soft Skills + Technical) training - Rs 3500/-")</f>
        <v>Complete C2C (Aptitude + Soft Skills + Technical) training - Rs 3500/-</v>
      </c>
      <c r="J87" s="36" t="str">
        <f ca="1">IFERROR(__xludf.DUMMYFUNCTION("""COMPUTED_VALUE"""),"https://drive.google.com/open?id=1HOW3N9pti8LJ8frMp1wybPjd5fafi8vc")</f>
        <v>https://drive.google.com/open?id=1HOW3N9pti8LJ8frMp1wybPjd5fafi8vc</v>
      </c>
      <c r="K87" s="44">
        <v>3500</v>
      </c>
      <c r="L87" s="45" t="s">
        <v>429</v>
      </c>
      <c r="M87" s="38" t="s">
        <v>101</v>
      </c>
      <c r="N87" s="37" t="s">
        <v>104</v>
      </c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22.5" customHeight="1" x14ac:dyDescent="0.25">
      <c r="A88" s="29">
        <f ca="1">IFERROR(__xludf.DUMMYFUNCTION("""COMPUTED_VALUE"""),46241.8164105208)</f>
        <v>46241.816410520798</v>
      </c>
      <c r="B88" s="11" t="str">
        <f ca="1">IFERROR(__xludf.DUMMYFUNCTION("""COMPUTED_VALUE"""),"vu3f2526085@pvppcoe.ac.in")</f>
        <v>vu3f2526085@pvppcoe.ac.in</v>
      </c>
      <c r="C88" s="11" t="str">
        <f ca="1">IFERROR(__xludf.DUMMYFUNCTION("""COMPUTED_VALUE"""),"VU3F2526085")</f>
        <v>VU3F2526085</v>
      </c>
      <c r="D88" s="11" t="str">
        <f ca="1">IFERROR(__xludf.DUMMYFUNCTION("""COMPUTED_VALUE"""),"vu3f2526085@pvppcoe.ac.in")</f>
        <v>vu3f2526085@pvppcoe.ac.in</v>
      </c>
      <c r="E88" s="11" t="str">
        <f ca="1">IFERROR(__xludf.DUMMYFUNCTION("""COMPUTED_VALUE"""),"PAWAR TANVI NAMDEV")</f>
        <v>PAWAR TANVI NAMDEV</v>
      </c>
      <c r="F88" s="11">
        <f ca="1">IFERROR(__xludf.DUMMYFUNCTION("""COMPUTED_VALUE"""),8928972578)</f>
        <v>8928972578</v>
      </c>
      <c r="G88" s="11" t="str">
        <f ca="1">IFERROR(__xludf.DUMMYFUNCTION("""COMPUTED_VALUE"""),"Second Year (Graduation Year of Passing:- 2029)")</f>
        <v>Second Year (Graduation Year of Passing:- 2029)</v>
      </c>
      <c r="H88" s="34" t="str">
        <f ca="1">IFERROR(__xludf.DUMMYFUNCTION("""COMPUTED_VALUE"""),"ECS")</f>
        <v>ECS</v>
      </c>
      <c r="I88" s="11" t="str">
        <f ca="1">IFERROR(__xludf.DUMMYFUNCTION("""COMPUTED_VALUE"""),"Complete C2C (Aptitude + Soft Skills + Technical) training - Rs 3500/-")</f>
        <v>Complete C2C (Aptitude + Soft Skills + Technical) training - Rs 3500/-</v>
      </c>
      <c r="J88" s="36" t="str">
        <f ca="1">IFERROR(__xludf.DUMMYFUNCTION("""COMPUTED_VALUE"""),"https://drive.google.com/open?id=1UL-Ues64mUFjPPBV3aAJQB6I1dlaO7CY")</f>
        <v>https://drive.google.com/open?id=1UL-Ues64mUFjPPBV3aAJQB6I1dlaO7CY</v>
      </c>
      <c r="K88" s="37">
        <v>3500</v>
      </c>
      <c r="L88" s="38" t="s">
        <v>429</v>
      </c>
      <c r="M88" s="38" t="s">
        <v>101</v>
      </c>
      <c r="N88" s="37" t="s">
        <v>104</v>
      </c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22.5" customHeight="1" x14ac:dyDescent="0.25">
      <c r="A89" s="29">
        <f ca="1">IFERROR(__xludf.DUMMYFUNCTION("""COMPUTED_VALUE"""),46240.9471451736)</f>
        <v>46240.947145173603</v>
      </c>
      <c r="B89" s="11" t="str">
        <f ca="1">IFERROR(__xludf.DUMMYFUNCTION("""COMPUTED_VALUE"""),"vu7f2526001@pvppcoe.ac.in")</f>
        <v>vu7f2526001@pvppcoe.ac.in</v>
      </c>
      <c r="C89" s="11" t="str">
        <f ca="1">IFERROR(__xludf.DUMMYFUNCTION("""COMPUTED_VALUE"""),"VU7F2526001")</f>
        <v>VU7F2526001</v>
      </c>
      <c r="D89" s="11" t="str">
        <f ca="1">IFERROR(__xludf.DUMMYFUNCTION("""COMPUTED_VALUE"""),"vu7f2526001@pvppcoe.ac.in")</f>
        <v>vu7f2526001@pvppcoe.ac.in</v>
      </c>
      <c r="E89" s="11" t="str">
        <f ca="1">IFERROR(__xludf.DUMMYFUNCTION("""COMPUTED_VALUE"""),"Quadros Reuben Ronnie ")</f>
        <v xml:space="preserve">Quadros Reuben Ronnie </v>
      </c>
      <c r="F89" s="11">
        <f ca="1">IFERROR(__xludf.DUMMYFUNCTION("""COMPUTED_VALUE"""),9336798344)</f>
        <v>9336798344</v>
      </c>
      <c r="G89" s="11" t="str">
        <f ca="1">IFERROR(__xludf.DUMMYFUNCTION("""COMPUTED_VALUE"""),"Second Year (Graduation Year of Passing:- 2029)")</f>
        <v>Second Year (Graduation Year of Passing:- 2029)</v>
      </c>
      <c r="H89" s="34" t="str">
        <f ca="1">IFERROR(__xludf.DUMMYFUNCTION("""COMPUTED_VALUE"""),"Mechatronics")</f>
        <v>Mechatronics</v>
      </c>
      <c r="I89" s="11" t="str">
        <f ca="1">IFERROR(__xludf.DUMMYFUNCTION("""COMPUTED_VALUE"""),"Complete C2C (Aptitude + Soft Skills + Technical) training - Rs 3500/-")</f>
        <v>Complete C2C (Aptitude + Soft Skills + Technical) training - Rs 3500/-</v>
      </c>
      <c r="J89" s="35" t="str">
        <f ca="1">IFERROR(__xludf.DUMMYFUNCTION("""COMPUTED_VALUE"""),"https://drive.google.com/open?id=1zXkR-2updFUGhm1Ms4NCkN0a3jgPlALs")</f>
        <v>https://drive.google.com/open?id=1zXkR-2updFUGhm1Ms4NCkN0a3jgPlALs</v>
      </c>
      <c r="K89" s="44">
        <v>3500</v>
      </c>
      <c r="L89" s="45" t="s">
        <v>429</v>
      </c>
      <c r="M89" s="38" t="s">
        <v>101</v>
      </c>
      <c r="N89" s="37" t="s">
        <v>104</v>
      </c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22.5" customHeight="1" x14ac:dyDescent="0.25">
      <c r="A90" s="29">
        <f ca="1">IFERROR(__xludf.DUMMYFUNCTION("""COMPUTED_VALUE"""),46240.9119433217)</f>
        <v>46240.911943321698</v>
      </c>
      <c r="B90" s="11" t="str">
        <f ca="1">IFERROR(__xludf.DUMMYFUNCTION("""COMPUTED_VALUE"""),"vu1f2526074@pvppcoe.ac.in")</f>
        <v>vu1f2526074@pvppcoe.ac.in</v>
      </c>
      <c r="C90" s="11" t="str">
        <f ca="1">IFERROR(__xludf.DUMMYFUNCTION("""COMPUTED_VALUE"""),"VU1F2526074")</f>
        <v>VU1F2526074</v>
      </c>
      <c r="D90" s="11" t="str">
        <f ca="1">IFERROR(__xludf.DUMMYFUNCTION("""COMPUTED_VALUE"""),"vu1f2526074@pvppcoe.ac.in")</f>
        <v>vu1f2526074@pvppcoe.ac.in</v>
      </c>
      <c r="E90" s="11" t="str">
        <f ca="1">IFERROR(__xludf.DUMMYFUNCTION("""COMPUTED_VALUE"""),"WANI YASH RAJENDRA")</f>
        <v>WANI YASH RAJENDRA</v>
      </c>
      <c r="F90" s="11">
        <f ca="1">IFERROR(__xludf.DUMMYFUNCTION("""COMPUTED_VALUE"""),7039543590)</f>
        <v>7039543590</v>
      </c>
      <c r="G90" s="11" t="str">
        <f ca="1">IFERROR(__xludf.DUMMYFUNCTION("""COMPUTED_VALUE"""),"Second Year (Graduation Year of Passing:- 2029)")</f>
        <v>Second Year (Graduation Year of Passing:- 2029)</v>
      </c>
      <c r="H90" s="34" t="str">
        <f ca="1">IFERROR(__xludf.DUMMYFUNCTION("""COMPUTED_VALUE"""),"CS")</f>
        <v>CS</v>
      </c>
      <c r="I90" s="11" t="str">
        <f ca="1">IFERROR(__xludf.DUMMYFUNCTION("""COMPUTED_VALUE"""),"Complete C2C (Aptitude + Soft Skills + Technical) training - Rs 3500/-")</f>
        <v>Complete C2C (Aptitude + Soft Skills + Technical) training - Rs 3500/-</v>
      </c>
      <c r="J90" s="35" t="str">
        <f ca="1">IFERROR(__xludf.DUMMYFUNCTION("""COMPUTED_VALUE"""),"https://drive.google.com/open?id=1XarX9rExSZnknhXHb24vRxHwgN-Ec2kp")</f>
        <v>https://drive.google.com/open?id=1XarX9rExSZnknhXHb24vRxHwgN-Ec2kp</v>
      </c>
      <c r="K90" s="71">
        <v>3500</v>
      </c>
      <c r="L90" s="72" t="s">
        <v>429</v>
      </c>
      <c r="M90" s="38" t="s">
        <v>101</v>
      </c>
      <c r="N90" s="37" t="s">
        <v>104</v>
      </c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22.5" customHeight="1" x14ac:dyDescent="0.25">
      <c r="A91" s="29">
        <f ca="1">IFERROR(__xludf.DUMMYFUNCTION("""COMPUTED_VALUE"""),46240.8897783449)</f>
        <v>46240.889778344899</v>
      </c>
      <c r="B91" s="11" t="str">
        <f ca="1">IFERROR(__xludf.DUMMYFUNCTION("""COMPUTED_VALUE"""),"vu1f2526077@pvppcoe.ac.in")</f>
        <v>vu1f2526077@pvppcoe.ac.in</v>
      </c>
      <c r="C91" s="11" t="str">
        <f ca="1">IFERROR(__xludf.DUMMYFUNCTION("""COMPUTED_VALUE"""),"VU1F2526077")</f>
        <v>VU1F2526077</v>
      </c>
      <c r="D91" s="11" t="str">
        <f ca="1">IFERROR(__xludf.DUMMYFUNCTION("""COMPUTED_VALUE"""),"vu1f2526077@pvppcoe.ac.in")</f>
        <v>vu1f2526077@pvppcoe.ac.in</v>
      </c>
      <c r="E91" s="11" t="str">
        <f ca="1">IFERROR(__xludf.DUMMYFUNCTION("""COMPUTED_VALUE"""),"Ghangale Sarthak Balu")</f>
        <v>Ghangale Sarthak Balu</v>
      </c>
      <c r="F91" s="11">
        <f ca="1">IFERROR(__xludf.DUMMYFUNCTION("""COMPUTED_VALUE"""),8104878731)</f>
        <v>8104878731</v>
      </c>
      <c r="G91" s="11" t="str">
        <f ca="1">IFERROR(__xludf.DUMMYFUNCTION("""COMPUTED_VALUE"""),"Second Year (Graduation Year of Passing:- 2029)")</f>
        <v>Second Year (Graduation Year of Passing:- 2029)</v>
      </c>
      <c r="H91" s="34" t="str">
        <f ca="1">IFERROR(__xludf.DUMMYFUNCTION("""COMPUTED_VALUE"""),"CS")</f>
        <v>CS</v>
      </c>
      <c r="I91" s="11" t="str">
        <f ca="1">IFERROR(__xludf.DUMMYFUNCTION("""COMPUTED_VALUE"""),"Complete C2C (Aptitude + Soft Skills + Technical) training - Rs 3500/-")</f>
        <v>Complete C2C (Aptitude + Soft Skills + Technical) training - Rs 3500/-</v>
      </c>
      <c r="J91" s="35" t="str">
        <f ca="1">IFERROR(__xludf.DUMMYFUNCTION("""COMPUTED_VALUE"""),"https://drive.google.com/open?id=1wnZhjlSsyMWXYjnd3Kkk4dpyr5y4YRh-")</f>
        <v>https://drive.google.com/open?id=1wnZhjlSsyMWXYjnd3Kkk4dpyr5y4YRh-</v>
      </c>
      <c r="K91" s="44">
        <v>3500</v>
      </c>
      <c r="L91" s="45" t="s">
        <v>429</v>
      </c>
      <c r="M91" s="38" t="s">
        <v>101</v>
      </c>
      <c r="N91" s="37" t="s">
        <v>104</v>
      </c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22.5" customHeight="1" x14ac:dyDescent="0.25">
      <c r="A92" s="29">
        <f ca="1">IFERROR(__xludf.DUMMYFUNCTION("""COMPUTED_VALUE"""),46240.813370405)</f>
        <v>46240.813370404998</v>
      </c>
      <c r="B92" s="11" t="str">
        <f ca="1">IFERROR(__xludf.DUMMYFUNCTION("""COMPUTED_VALUE"""),"vu2f2526003@pvppcoe.ac.in")</f>
        <v>vu2f2526003@pvppcoe.ac.in</v>
      </c>
      <c r="C92" s="11" t="str">
        <f ca="1">IFERROR(__xludf.DUMMYFUNCTION("""COMPUTED_VALUE"""),"VU2F2526003")</f>
        <v>VU2F2526003</v>
      </c>
      <c r="D92" s="11" t="str">
        <f ca="1">IFERROR(__xludf.DUMMYFUNCTION("""COMPUTED_VALUE"""),"vu2f2526003@pvppcoe.ac.in")</f>
        <v>vu2f2526003@pvppcoe.ac.in</v>
      </c>
      <c r="E92" s="11" t="str">
        <f ca="1">IFERROR(__xludf.DUMMYFUNCTION("""COMPUTED_VALUE"""),"WADEKAR SOHAM DINESH")</f>
        <v>WADEKAR SOHAM DINESH</v>
      </c>
      <c r="F92" s="11">
        <f ca="1">IFERROR(__xludf.DUMMYFUNCTION("""COMPUTED_VALUE"""),9867198352)</f>
        <v>9867198352</v>
      </c>
      <c r="G92" s="11" t="str">
        <f ca="1">IFERROR(__xludf.DUMMYFUNCTION("""COMPUTED_VALUE"""),"Second Year (Graduation Year of Passing:- 2029)")</f>
        <v>Second Year (Graduation Year of Passing:- 2029)</v>
      </c>
      <c r="H92" s="34" t="str">
        <f ca="1">IFERROR(__xludf.DUMMYFUNCTION("""COMPUTED_VALUE"""),"AI &amp; ML")</f>
        <v>AI &amp; ML</v>
      </c>
      <c r="I92" s="11" t="str">
        <f ca="1">IFERROR(__xludf.DUMMYFUNCTION("""COMPUTED_VALUE"""),"Complete C2C (Aptitude + Soft Skills + Technical) training - Rs 3500/-")</f>
        <v>Complete C2C (Aptitude + Soft Skills + Technical) training - Rs 3500/-</v>
      </c>
      <c r="J92" s="35" t="str">
        <f ca="1">IFERROR(__xludf.DUMMYFUNCTION("""COMPUTED_VALUE"""),"https://drive.google.com/open?id=1hTP0CmEfwrUtdZkFTbVstbz_v03oklV1")</f>
        <v>https://drive.google.com/open?id=1hTP0CmEfwrUtdZkFTbVstbz_v03oklV1</v>
      </c>
      <c r="K92" s="37">
        <v>2000</v>
      </c>
      <c r="L92" s="38" t="s">
        <v>98</v>
      </c>
      <c r="M92" s="38" t="s">
        <v>101</v>
      </c>
      <c r="N92" s="37" t="s">
        <v>104</v>
      </c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22.5" customHeight="1" x14ac:dyDescent="0.25">
      <c r="A93" s="29">
        <f ca="1">IFERROR(__xludf.DUMMYFUNCTION("""COMPUTED_VALUE"""),46240.7564131365)</f>
        <v>46240.7564131365</v>
      </c>
      <c r="B93" s="11" t="str">
        <f ca="1">IFERROR(__xludf.DUMMYFUNCTION("""COMPUTED_VALUE"""),"vu7f2526019@pvppcoe.ac.in")</f>
        <v>vu7f2526019@pvppcoe.ac.in</v>
      </c>
      <c r="C93" s="11" t="str">
        <f ca="1">IFERROR(__xludf.DUMMYFUNCTION("""COMPUTED_VALUE"""),"VU7F2526019")</f>
        <v>VU7F2526019</v>
      </c>
      <c r="D93" s="11" t="str">
        <f ca="1">IFERROR(__xludf.DUMMYFUNCTION("""COMPUTED_VALUE"""),"vu7f2526019@pvppcoe.ac.in")</f>
        <v>vu7f2526019@pvppcoe.ac.in</v>
      </c>
      <c r="E93" s="11" t="str">
        <f ca="1">IFERROR(__xludf.DUMMYFUNCTION("""COMPUTED_VALUE"""),"Amin Harshit Rajesh")</f>
        <v>Amin Harshit Rajesh</v>
      </c>
      <c r="F93" s="11">
        <f ca="1">IFERROR(__xludf.DUMMYFUNCTION("""COMPUTED_VALUE"""),8169602972)</f>
        <v>8169602972</v>
      </c>
      <c r="G93" s="11" t="str">
        <f ca="1">IFERROR(__xludf.DUMMYFUNCTION("""COMPUTED_VALUE"""),"Second Year (Graduation Year of Passing:- 2029)")</f>
        <v>Second Year (Graduation Year of Passing:- 2029)</v>
      </c>
      <c r="H93" s="34" t="str">
        <f ca="1">IFERROR(__xludf.DUMMYFUNCTION("""COMPUTED_VALUE"""),"Mechatronics")</f>
        <v>Mechatronics</v>
      </c>
      <c r="I93" s="11" t="str">
        <f ca="1">IFERROR(__xludf.DUMMYFUNCTION("""COMPUTED_VALUE"""),"Complete C2C (Aptitude + Soft Skills + Technical) training - Rs 3500/-")</f>
        <v>Complete C2C (Aptitude + Soft Skills + Technical) training - Rs 3500/-</v>
      </c>
      <c r="J93" s="35" t="str">
        <f ca="1">IFERROR(__xludf.DUMMYFUNCTION("""COMPUTED_VALUE"""),"https://drive.google.com/open?id=1XzpFZeqyIuUyQKuhvIF4DFQNxo-EXVj9")</f>
        <v>https://drive.google.com/open?id=1XzpFZeqyIuUyQKuhvIF4DFQNxo-EXVj9</v>
      </c>
      <c r="K93" s="44">
        <v>3500</v>
      </c>
      <c r="L93" s="45" t="s">
        <v>429</v>
      </c>
      <c r="M93" s="38" t="s">
        <v>101</v>
      </c>
      <c r="N93" s="37" t="s">
        <v>104</v>
      </c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22.5" customHeight="1" x14ac:dyDescent="0.25">
      <c r="A94" s="29">
        <f ca="1">IFERROR(__xludf.DUMMYFUNCTION("""COMPUTED_VALUE"""),46240.6952625694)</f>
        <v>46240.695262569403</v>
      </c>
      <c r="B94" s="11" t="str">
        <f ca="1">IFERROR(__xludf.DUMMYFUNCTION("""COMPUTED_VALUE"""),"vu1f2526101@pvppcoe.ac.in")</f>
        <v>vu1f2526101@pvppcoe.ac.in</v>
      </c>
      <c r="C94" s="11" t="str">
        <f ca="1">IFERROR(__xludf.DUMMYFUNCTION("""COMPUTED_VALUE"""),"VU1F2526101 ")</f>
        <v xml:space="preserve">VU1F2526101 </v>
      </c>
      <c r="D94" s="11" t="str">
        <f ca="1">IFERROR(__xludf.DUMMYFUNCTION("""COMPUTED_VALUE"""),"vu1f2526101@pvppcoe.ac.in")</f>
        <v>vu1f2526101@pvppcoe.ac.in</v>
      </c>
      <c r="E94" s="11" t="str">
        <f ca="1">IFERROR(__xludf.DUMMYFUNCTION("""COMPUTED_VALUE"""),"KHADE VEDANT RAMESH")</f>
        <v>KHADE VEDANT RAMESH</v>
      </c>
      <c r="F94" s="11">
        <f ca="1">IFERROR(__xludf.DUMMYFUNCTION("""COMPUTED_VALUE"""),7718005697)</f>
        <v>7718005697</v>
      </c>
      <c r="G94" s="11" t="str">
        <f ca="1">IFERROR(__xludf.DUMMYFUNCTION("""COMPUTED_VALUE"""),"Second Year (Graduation Year of Passing:- 2029)")</f>
        <v>Second Year (Graduation Year of Passing:- 2029)</v>
      </c>
      <c r="H94" s="34" t="str">
        <f ca="1">IFERROR(__xludf.DUMMYFUNCTION("""COMPUTED_VALUE"""),"CS")</f>
        <v>CS</v>
      </c>
      <c r="I94" s="11" t="str">
        <f ca="1">IFERROR(__xludf.DUMMYFUNCTION("""COMPUTED_VALUE"""),"Complete C2C (Aptitude + Soft Skills + Technical) training - Rs 3500/-")</f>
        <v>Complete C2C (Aptitude + Soft Skills + Technical) training - Rs 3500/-</v>
      </c>
      <c r="J94" s="35" t="str">
        <f ca="1">IFERROR(__xludf.DUMMYFUNCTION("""COMPUTED_VALUE"""),"https://drive.google.com/open?id=1dJq-FuYMvMZxaDr1xB6DNn3ZlJN4clT0")</f>
        <v>https://drive.google.com/open?id=1dJq-FuYMvMZxaDr1xB6DNn3ZlJN4clT0</v>
      </c>
      <c r="K94" s="37">
        <v>3500</v>
      </c>
      <c r="L94" s="38" t="s">
        <v>429</v>
      </c>
      <c r="M94" s="38" t="s">
        <v>101</v>
      </c>
      <c r="N94" s="37" t="s">
        <v>104</v>
      </c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22.5" customHeight="1" x14ac:dyDescent="0.25">
      <c r="A95" s="29">
        <f ca="1">IFERROR(__xludf.DUMMYFUNCTION("""COMPUTED_VALUE"""),46240.4707194097)</f>
        <v>46240.470719409699</v>
      </c>
      <c r="B95" s="11" t="str">
        <f ca="1">IFERROR(__xludf.DUMMYFUNCTION("""COMPUTED_VALUE"""),"vu7f2526053@pvppcoe.ac.in")</f>
        <v>vu7f2526053@pvppcoe.ac.in</v>
      </c>
      <c r="C95" s="11" t="str">
        <f ca="1">IFERROR(__xludf.DUMMYFUNCTION("""COMPUTED_VALUE"""),"VU7F2526053")</f>
        <v>VU7F2526053</v>
      </c>
      <c r="D95" s="11" t="str">
        <f ca="1">IFERROR(__xludf.DUMMYFUNCTION("""COMPUTED_VALUE"""),"vu7f2526053@pvppcoe.ac.in")</f>
        <v>vu7f2526053@pvppcoe.ac.in</v>
      </c>
      <c r="E95" s="11" t="str">
        <f ca="1">IFERROR(__xludf.DUMMYFUNCTION("""COMPUTED_VALUE"""),"Rabhadiya Neyasa Haresh ")</f>
        <v xml:space="preserve">Rabhadiya Neyasa Haresh </v>
      </c>
      <c r="F95" s="11">
        <f ca="1">IFERROR(__xludf.DUMMYFUNCTION("""COMPUTED_VALUE"""),8928057743)</f>
        <v>8928057743</v>
      </c>
      <c r="G95" s="11" t="str">
        <f ca="1">IFERROR(__xludf.DUMMYFUNCTION("""COMPUTED_VALUE"""),"Second Year (Graduation Year of Passing:- 2029)")</f>
        <v>Second Year (Graduation Year of Passing:- 2029)</v>
      </c>
      <c r="H95" s="34" t="str">
        <f ca="1">IFERROR(__xludf.DUMMYFUNCTION("""COMPUTED_VALUE"""),"Mechatronics")</f>
        <v>Mechatronics</v>
      </c>
      <c r="I95" s="11" t="str">
        <f ca="1">IFERROR(__xludf.DUMMYFUNCTION("""COMPUTED_VALUE"""),"Complete C2C (Aptitude + Soft Skills + Technical) training - Rs 3500/-")</f>
        <v>Complete C2C (Aptitude + Soft Skills + Technical) training - Rs 3500/-</v>
      </c>
      <c r="J95" s="35" t="str">
        <f ca="1">IFERROR(__xludf.DUMMYFUNCTION("""COMPUTED_VALUE"""),"https://drive.google.com/open?id=1nZLwbVOWKCoGSyPAqoBw_dBVyeCAiegS")</f>
        <v>https://drive.google.com/open?id=1nZLwbVOWKCoGSyPAqoBw_dBVyeCAiegS</v>
      </c>
      <c r="K95" s="44">
        <v>3500</v>
      </c>
      <c r="L95" s="45" t="s">
        <v>429</v>
      </c>
      <c r="M95" s="38" t="s">
        <v>101</v>
      </c>
      <c r="N95" s="37" t="s">
        <v>104</v>
      </c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22.5" customHeight="1" x14ac:dyDescent="0.25">
      <c r="A96" s="29">
        <f ca="1">IFERROR(__xludf.DUMMYFUNCTION("""COMPUTED_VALUE"""),46239.9400703009)</f>
        <v>46239.940070300901</v>
      </c>
      <c r="B96" s="11" t="str">
        <f ca="1">IFERROR(__xludf.DUMMYFUNCTION("""COMPUTED_VALUE"""),"vu1f2526133@pvppcoe.ac.in")</f>
        <v>vu1f2526133@pvppcoe.ac.in</v>
      </c>
      <c r="C96" s="11" t="str">
        <f ca="1">IFERROR(__xludf.DUMMYFUNCTION("""COMPUTED_VALUE"""),"VU1F2526133 ")</f>
        <v xml:space="preserve">VU1F2526133 </v>
      </c>
      <c r="D96" s="11" t="str">
        <f ca="1">IFERROR(__xludf.DUMMYFUNCTION("""COMPUTED_VALUE"""),"vu1f2526133@pvppcoe.ac.in")</f>
        <v>vu1f2526133@pvppcoe.ac.in</v>
      </c>
      <c r="E96" s="11" t="str">
        <f ca="1">IFERROR(__xludf.DUMMYFUNCTION("""COMPUTED_VALUE"""),"Rai Diksha Santosh ")</f>
        <v xml:space="preserve">Rai Diksha Santosh </v>
      </c>
      <c r="F96" s="11">
        <f ca="1">IFERROR(__xludf.DUMMYFUNCTION("""COMPUTED_VALUE"""),7007079982)</f>
        <v>7007079982</v>
      </c>
      <c r="G96" s="11" t="str">
        <f ca="1">IFERROR(__xludf.DUMMYFUNCTION("""COMPUTED_VALUE"""),"Second Year (Graduation Year of Passing:- 2029)")</f>
        <v>Second Year (Graduation Year of Passing:- 2029)</v>
      </c>
      <c r="H96" s="34" t="str">
        <f ca="1">IFERROR(__xludf.DUMMYFUNCTION("""COMPUTED_VALUE"""),"CS")</f>
        <v>CS</v>
      </c>
      <c r="I96" s="11" t="str">
        <f ca="1">IFERROR(__xludf.DUMMYFUNCTION("""COMPUTED_VALUE"""),"Complete C2C (Aptitude + Soft Skills + Technical) training - Rs 3500/-")</f>
        <v>Complete C2C (Aptitude + Soft Skills + Technical) training - Rs 3500/-</v>
      </c>
      <c r="J96" s="35" t="str">
        <f ca="1">IFERROR(__xludf.DUMMYFUNCTION("""COMPUTED_VALUE"""),"https://drive.google.com/open?id=1LzoFXeWrpj2M6ViQeX5Rsp2nI8ccMAHB")</f>
        <v>https://drive.google.com/open?id=1LzoFXeWrpj2M6ViQeX5Rsp2nI8ccMAHB</v>
      </c>
      <c r="K96" s="37">
        <v>3500</v>
      </c>
      <c r="L96" s="38" t="s">
        <v>429</v>
      </c>
      <c r="M96" s="38" t="s">
        <v>101</v>
      </c>
      <c r="N96" s="37" t="s">
        <v>104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22.5" customHeight="1" x14ac:dyDescent="0.25">
      <c r="A97" s="29">
        <f ca="1">IFERROR(__xludf.DUMMYFUNCTION("""COMPUTED_VALUE"""),46239.9178001273)</f>
        <v>46239.917800127303</v>
      </c>
      <c r="B97" s="11" t="str">
        <f ca="1">IFERROR(__xludf.DUMMYFUNCTION("""COMPUTED_VALUE"""),"vu1f2526075@pvppcoe.ac.in")</f>
        <v>vu1f2526075@pvppcoe.ac.in</v>
      </c>
      <c r="C97" s="11" t="str">
        <f ca="1">IFERROR(__xludf.DUMMYFUNCTION("""COMPUTED_VALUE"""),"VU1F2526075")</f>
        <v>VU1F2526075</v>
      </c>
      <c r="D97" s="11" t="str">
        <f ca="1">IFERROR(__xludf.DUMMYFUNCTION("""COMPUTED_VALUE"""),"pranay.v.gondhali@gmail.com")</f>
        <v>pranay.v.gondhali@gmail.com</v>
      </c>
      <c r="E97" s="11" t="str">
        <f ca="1">IFERROR(__xludf.DUMMYFUNCTION("""COMPUTED_VALUE"""),"Gondhali Pranay Vasant ")</f>
        <v xml:space="preserve">Gondhali Pranay Vasant </v>
      </c>
      <c r="F97" s="11">
        <f ca="1">IFERROR(__xludf.DUMMYFUNCTION("""COMPUTED_VALUE"""),8446930409)</f>
        <v>8446930409</v>
      </c>
      <c r="G97" s="11" t="str">
        <f ca="1">IFERROR(__xludf.DUMMYFUNCTION("""COMPUTED_VALUE"""),"Second Year (Graduation Year of Passing:- 2029)")</f>
        <v>Second Year (Graduation Year of Passing:- 2029)</v>
      </c>
      <c r="H97" s="34" t="str">
        <f ca="1">IFERROR(__xludf.DUMMYFUNCTION("""COMPUTED_VALUE"""),"CS")</f>
        <v>CS</v>
      </c>
      <c r="I97" s="11" t="str">
        <f ca="1">IFERROR(__xludf.DUMMYFUNCTION("""COMPUTED_VALUE"""),"Complete C2C (Aptitude + Soft Skills + Technical) training - Rs 3500/-")</f>
        <v>Complete C2C (Aptitude + Soft Skills + Technical) training - Rs 3500/-</v>
      </c>
      <c r="J97" s="35" t="str">
        <f ca="1">IFERROR(__xludf.DUMMYFUNCTION("""COMPUTED_VALUE"""),"https://drive.google.com/open?id=1IbmdwE_lCSG3O_1lj2DPYDELYuR9cR4b")</f>
        <v>https://drive.google.com/open?id=1IbmdwE_lCSG3O_1lj2DPYDELYuR9cR4b</v>
      </c>
      <c r="K97" s="44">
        <v>3500</v>
      </c>
      <c r="L97" s="45" t="s">
        <v>429</v>
      </c>
      <c r="M97" s="38" t="s">
        <v>101</v>
      </c>
      <c r="N97" s="37" t="s">
        <v>104</v>
      </c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22.5" customHeight="1" x14ac:dyDescent="0.25">
      <c r="A98" s="29">
        <f ca="1">IFERROR(__xludf.DUMMYFUNCTION("""COMPUTED_VALUE"""),46238.9425221412)</f>
        <v>46238.942522141202</v>
      </c>
      <c r="B98" s="11" t="str">
        <f ca="1">IFERROR(__xludf.DUMMYFUNCTION("""COMPUTED_VALUE"""),"vu1f2526131@pvppcoe.ac.in")</f>
        <v>vu1f2526131@pvppcoe.ac.in</v>
      </c>
      <c r="C98" s="11" t="str">
        <f ca="1">IFERROR(__xludf.DUMMYFUNCTION("""COMPUTED_VALUE"""),"VU1F2526131 ")</f>
        <v xml:space="preserve">VU1F2526131 </v>
      </c>
      <c r="D98" s="11" t="str">
        <f ca="1">IFERROR(__xludf.DUMMYFUNCTION("""COMPUTED_VALUE"""),"vu1f2526131@pvppcoe.ac.in")</f>
        <v>vu1f2526131@pvppcoe.ac.in</v>
      </c>
      <c r="E98" s="11" t="str">
        <f ca="1">IFERROR(__xludf.DUMMYFUNCTION("""COMPUTED_VALUE"""),"CHAFE KSHITIJ RAJENDRA ")</f>
        <v xml:space="preserve">CHAFE KSHITIJ RAJENDRA </v>
      </c>
      <c r="F98" s="11">
        <f ca="1">IFERROR(__xludf.DUMMYFUNCTION("""COMPUTED_VALUE"""),8169258932)</f>
        <v>8169258932</v>
      </c>
      <c r="G98" s="11" t="str">
        <f ca="1">IFERROR(__xludf.DUMMYFUNCTION("""COMPUTED_VALUE"""),"Second Year (Graduation Year of Passing:- 2029)")</f>
        <v>Second Year (Graduation Year of Passing:- 2029)</v>
      </c>
      <c r="H98" s="34" t="str">
        <f ca="1">IFERROR(__xludf.DUMMYFUNCTION("""COMPUTED_VALUE"""),"CS")</f>
        <v>CS</v>
      </c>
      <c r="I98" s="11" t="str">
        <f ca="1">IFERROR(__xludf.DUMMYFUNCTION("""COMPUTED_VALUE"""),"Complete C2C (Aptitude + Soft Skills + Technical) training - Rs 3500/-")</f>
        <v>Complete C2C (Aptitude + Soft Skills + Technical) training - Rs 3500/-</v>
      </c>
      <c r="J98" s="35" t="str">
        <f ca="1">IFERROR(__xludf.DUMMYFUNCTION("""COMPUTED_VALUE"""),"https://drive.google.com/open?id=1LXTlvyLt4zAWH-_Eh9eKJrUb4abRxDn2")</f>
        <v>https://drive.google.com/open?id=1LXTlvyLt4zAWH-_Eh9eKJrUb4abRxDn2</v>
      </c>
      <c r="K98" s="37">
        <v>3500</v>
      </c>
      <c r="L98" s="38" t="s">
        <v>429</v>
      </c>
      <c r="M98" s="38" t="s">
        <v>101</v>
      </c>
      <c r="N98" s="37" t="s">
        <v>104</v>
      </c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22.5" customHeight="1" x14ac:dyDescent="0.25">
      <c r="A99" s="29">
        <f ca="1">IFERROR(__xludf.DUMMYFUNCTION("""COMPUTED_VALUE"""),46238.8995606365)</f>
        <v>46238.899560636499</v>
      </c>
      <c r="B99" s="11" t="str">
        <f ca="1">IFERROR(__xludf.DUMMYFUNCTION("""COMPUTED_VALUE"""),"vu1f2526054@pvppcoe.ac.in")</f>
        <v>vu1f2526054@pvppcoe.ac.in</v>
      </c>
      <c r="C99" s="11" t="str">
        <f ca="1">IFERROR(__xludf.DUMMYFUNCTION("""COMPUTED_VALUE"""),"VU1F2526054")</f>
        <v>VU1F2526054</v>
      </c>
      <c r="D99" s="11" t="str">
        <f ca="1">IFERROR(__xludf.DUMMYFUNCTION("""COMPUTED_VALUE"""),"vu1f2526054@pvppcoe.ac.in")</f>
        <v>vu1f2526054@pvppcoe.ac.in</v>
      </c>
      <c r="E99" s="11" t="str">
        <f ca="1">IFERROR(__xludf.DUMMYFUNCTION("""COMPUTED_VALUE"""),"SHINDE ATHARV JAYSING ")</f>
        <v xml:space="preserve">SHINDE ATHARV JAYSING </v>
      </c>
      <c r="F99" s="11">
        <f ca="1">IFERROR(__xludf.DUMMYFUNCTION("""COMPUTED_VALUE"""),9372237518)</f>
        <v>9372237518</v>
      </c>
      <c r="G99" s="11" t="str">
        <f ca="1">IFERROR(__xludf.DUMMYFUNCTION("""COMPUTED_VALUE"""),"Second Year (Graduation Year of Passing:- 2029)")</f>
        <v>Second Year (Graduation Year of Passing:- 2029)</v>
      </c>
      <c r="H99" s="34" t="str">
        <f ca="1">IFERROR(__xludf.DUMMYFUNCTION("""COMPUTED_VALUE"""),"CS")</f>
        <v>CS</v>
      </c>
      <c r="I99" s="11" t="str">
        <f ca="1">IFERROR(__xludf.DUMMYFUNCTION("""COMPUTED_VALUE"""),"Complete C2C (Aptitude + Soft Skills + Technical) training - Rs 3500/-")</f>
        <v>Complete C2C (Aptitude + Soft Skills + Technical) training - Rs 3500/-</v>
      </c>
      <c r="J99" s="35" t="str">
        <f ca="1">IFERROR(__xludf.DUMMYFUNCTION("""COMPUTED_VALUE"""),"https://drive.google.com/open?id=1njLWzGbfJ6A1PzkMlWLuql9cKQy9FK0r")</f>
        <v>https://drive.google.com/open?id=1njLWzGbfJ6A1PzkMlWLuql9cKQy9FK0r</v>
      </c>
      <c r="K99" s="71">
        <v>3500</v>
      </c>
      <c r="L99" s="72" t="s">
        <v>429</v>
      </c>
      <c r="M99" s="73" t="s">
        <v>101</v>
      </c>
      <c r="N99" s="37" t="s">
        <v>104</v>
      </c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22.5" customHeight="1" x14ac:dyDescent="0.25">
      <c r="A100" s="29">
        <f ca="1">IFERROR(__xludf.DUMMYFUNCTION("""COMPUTED_VALUE"""),46238.8253427777)</f>
        <v>46238.825342777702</v>
      </c>
      <c r="B100" s="11" t="str">
        <f ca="1">IFERROR(__xludf.DUMMYFUNCTION("""COMPUTED_VALUE"""),"vu1f2526093@pvppcoe.ac.in")</f>
        <v>vu1f2526093@pvppcoe.ac.in</v>
      </c>
      <c r="C100" s="11" t="str">
        <f ca="1">IFERROR(__xludf.DUMMYFUNCTION("""COMPUTED_VALUE"""),"VU1F2526093")</f>
        <v>VU1F2526093</v>
      </c>
      <c r="D100" s="11" t="str">
        <f ca="1">IFERROR(__xludf.DUMMYFUNCTION("""COMPUTED_VALUE"""),"vu1f2526093@pvppcoe.ac.in")</f>
        <v>vu1f2526093@pvppcoe.ac.in</v>
      </c>
      <c r="E100" s="11" t="str">
        <f ca="1">IFERROR(__xludf.DUMMYFUNCTION("""COMPUTED_VALUE"""),"CHOPADE VISHVAJEET SARDAR")</f>
        <v>CHOPADE VISHVAJEET SARDAR</v>
      </c>
      <c r="F100" s="11">
        <f ca="1">IFERROR(__xludf.DUMMYFUNCTION("""COMPUTED_VALUE"""),7666013172)</f>
        <v>7666013172</v>
      </c>
      <c r="G100" s="11" t="str">
        <f ca="1">IFERROR(__xludf.DUMMYFUNCTION("""COMPUTED_VALUE"""),"Second Year (Graduation Year of Passing:- 2029)")</f>
        <v>Second Year (Graduation Year of Passing:- 2029)</v>
      </c>
      <c r="H100" s="34" t="str">
        <f ca="1">IFERROR(__xludf.DUMMYFUNCTION("""COMPUTED_VALUE"""),"CS")</f>
        <v>CS</v>
      </c>
      <c r="I100" s="11" t="str">
        <f ca="1">IFERROR(__xludf.DUMMYFUNCTION("""COMPUTED_VALUE"""),"Complete C2C (Aptitude + Soft Skills + Technical) training - Rs 3500/-")</f>
        <v>Complete C2C (Aptitude + Soft Skills + Technical) training - Rs 3500/-</v>
      </c>
      <c r="J100" s="35" t="str">
        <f ca="1">IFERROR(__xludf.DUMMYFUNCTION("""COMPUTED_VALUE"""),"https://drive.google.com/open?id=1x-vaDnUU8Ql73uCyJQhCnYnr3cqoUor5")</f>
        <v>https://drive.google.com/open?id=1x-vaDnUU8Ql73uCyJQhCnYnr3cqoUor5</v>
      </c>
      <c r="K100" s="37">
        <v>3500</v>
      </c>
      <c r="L100" s="74" t="s">
        <v>429</v>
      </c>
      <c r="M100" s="38" t="s">
        <v>101</v>
      </c>
      <c r="N100" s="37" t="s">
        <v>104</v>
      </c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22.5" customHeight="1" x14ac:dyDescent="0.25">
      <c r="A101" s="29">
        <f ca="1">IFERROR(__xludf.DUMMYFUNCTION("""COMPUTED_VALUE"""),46248.7999609027)</f>
        <v>46248.799960902703</v>
      </c>
      <c r="B101" s="11" t="str">
        <f ca="1">IFERROR(__xludf.DUMMYFUNCTION("""COMPUTED_VALUE"""),"vu1f2526124@pvppcoe.ac.in")</f>
        <v>vu1f2526124@pvppcoe.ac.in</v>
      </c>
      <c r="C101" s="11" t="str">
        <f ca="1">IFERROR(__xludf.DUMMYFUNCTION("""COMPUTED_VALUE"""),"VU1F2526124 ")</f>
        <v xml:space="preserve">VU1F2526124 </v>
      </c>
      <c r="D101" s="11" t="str">
        <f ca="1">IFERROR(__xludf.DUMMYFUNCTION("""COMPUTED_VALUE"""),"vu1f2526124@pvppcoe.ac.in")</f>
        <v>vu1f2526124@pvppcoe.ac.in</v>
      </c>
      <c r="E101" s="11" t="str">
        <f ca="1">IFERROR(__xludf.DUMMYFUNCTION("""COMPUTED_VALUE"""),"Sawant Soham Sanjay ")</f>
        <v xml:space="preserve">Sawant Soham Sanjay </v>
      </c>
      <c r="F101" s="11">
        <f ca="1">IFERROR(__xludf.DUMMYFUNCTION("""COMPUTED_VALUE"""),8928029700)</f>
        <v>8928029700</v>
      </c>
      <c r="G101" s="11" t="str">
        <f ca="1">IFERROR(__xludf.DUMMYFUNCTION("""COMPUTED_VALUE"""),"Second Year (Graduation Year of Passing:- 2029)")</f>
        <v>Second Year (Graduation Year of Passing:- 2029)</v>
      </c>
      <c r="H101" s="34" t="str">
        <f ca="1">IFERROR(__xludf.DUMMYFUNCTION("""COMPUTED_VALUE"""),"CS")</f>
        <v>CS</v>
      </c>
      <c r="I101" s="11" t="str">
        <f ca="1">IFERROR(__xludf.DUMMYFUNCTION("""COMPUTED_VALUE"""),"Complete C2C (Aptitude + Soft Skills + Technical) training - Rs 3500/-")</f>
        <v>Complete C2C (Aptitude + Soft Skills + Technical) training - Rs 3500/-</v>
      </c>
      <c r="J101" s="67" t="str">
        <f ca="1">IFERROR(__xludf.DUMMYFUNCTION("""COMPUTED_VALUE"""),"https://drive.google.com/open?id=1asGKYcnxxB60kyp4c4pld-YgV6j-coKE")</f>
        <v>https://drive.google.com/open?id=1asGKYcnxxB60kyp4c4pld-YgV6j-coKE</v>
      </c>
      <c r="K101" s="75">
        <v>3500</v>
      </c>
      <c r="L101" s="76" t="s">
        <v>429</v>
      </c>
      <c r="M101" s="76" t="s">
        <v>101</v>
      </c>
      <c r="N101" s="37" t="s">
        <v>104</v>
      </c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22.5" customHeight="1" x14ac:dyDescent="0.25">
      <c r="A102" s="29">
        <f ca="1">IFERROR(__xludf.DUMMYFUNCTION("""COMPUTED_VALUE"""),46248.8036717013)</f>
        <v>46248.803671701302</v>
      </c>
      <c r="B102" s="11" t="str">
        <f ca="1">IFERROR(__xludf.DUMMYFUNCTION("""COMPUTED_VALUE"""),"vu7f2526038@pvppcoe.ac.in")</f>
        <v>vu7f2526038@pvppcoe.ac.in</v>
      </c>
      <c r="C102" s="11" t="str">
        <f ca="1">IFERROR(__xludf.DUMMYFUNCTION("""COMPUTED_VALUE"""),"VU7F2526038 ")</f>
        <v xml:space="preserve">VU7F2526038 </v>
      </c>
      <c r="D102" s="11" t="str">
        <f ca="1">IFERROR(__xludf.DUMMYFUNCTION("""COMPUTED_VALUE"""),"vu7f2526038@pvppcoe.ac.in")</f>
        <v>vu7f2526038@pvppcoe.ac.in</v>
      </c>
      <c r="E102" s="11" t="str">
        <f ca="1">IFERROR(__xludf.DUMMYFUNCTION("""COMPUTED_VALUE"""),"Nagula Avaneesh Arvindkumar ")</f>
        <v xml:space="preserve">Nagula Avaneesh Arvindkumar </v>
      </c>
      <c r="F102" s="11">
        <f ca="1">IFERROR(__xludf.DUMMYFUNCTION("""COMPUTED_VALUE"""),9004457842)</f>
        <v>9004457842</v>
      </c>
      <c r="G102" s="11" t="str">
        <f ca="1">IFERROR(__xludf.DUMMYFUNCTION("""COMPUTED_VALUE"""),"Second Year (Graduation Year of Passing:- 2029)")</f>
        <v>Second Year (Graduation Year of Passing:- 2029)</v>
      </c>
      <c r="H102" s="34" t="str">
        <f ca="1">IFERROR(__xludf.DUMMYFUNCTION("""COMPUTED_VALUE"""),"Mechatronics")</f>
        <v>Mechatronics</v>
      </c>
      <c r="I102" s="11" t="str">
        <f ca="1">IFERROR(__xludf.DUMMYFUNCTION("""COMPUTED_VALUE"""),"Complete C2C (Aptitude + Soft Skills + Technical) training - Rs 3500/-")</f>
        <v>Complete C2C (Aptitude + Soft Skills + Technical) training - Rs 3500/-</v>
      </c>
      <c r="J102" s="67" t="str">
        <f ca="1">IFERROR(__xludf.DUMMYFUNCTION("""COMPUTED_VALUE"""),"https://drive.google.com/open?id=1XlYeOaA_0HbZzIgd1XA6Oi1IT7kVv19J")</f>
        <v>https://drive.google.com/open?id=1XlYeOaA_0HbZzIgd1XA6Oi1IT7kVv19J</v>
      </c>
      <c r="K102" s="75">
        <v>3500</v>
      </c>
      <c r="L102" s="76" t="s">
        <v>429</v>
      </c>
      <c r="M102" s="76" t="s">
        <v>101</v>
      </c>
      <c r="N102" s="37" t="s">
        <v>104</v>
      </c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22.5" customHeight="1" x14ac:dyDescent="0.25">
      <c r="A103" s="29">
        <f ca="1">IFERROR(__xludf.DUMMYFUNCTION("""COMPUTED_VALUE"""),46248.8261027546)</f>
        <v>46248.826102754603</v>
      </c>
      <c r="B103" s="11" t="str">
        <f ca="1">IFERROR(__xludf.DUMMYFUNCTION("""COMPUTED_VALUE"""),"vu3f2526086@pvppcoe.ac.in")</f>
        <v>vu3f2526086@pvppcoe.ac.in</v>
      </c>
      <c r="C103" s="11" t="str">
        <f ca="1">IFERROR(__xludf.DUMMYFUNCTION("""COMPUTED_VALUE"""),"VU3F2526086")</f>
        <v>VU3F2526086</v>
      </c>
      <c r="D103" s="11" t="str">
        <f ca="1">IFERROR(__xludf.DUMMYFUNCTION("""COMPUTED_VALUE"""),"vu3f2526086@pvppcoe.ac.in")</f>
        <v>vu3f2526086@pvppcoe.ac.in</v>
      </c>
      <c r="E103" s="11" t="str">
        <f ca="1">IFERROR(__xludf.DUMMYFUNCTION("""COMPUTED_VALUE"""),"Aaryan Surendra Nikalje")</f>
        <v>Aaryan Surendra Nikalje</v>
      </c>
      <c r="F103" s="11">
        <f ca="1">IFERROR(__xludf.DUMMYFUNCTION("""COMPUTED_VALUE"""),7030988998)</f>
        <v>7030988998</v>
      </c>
      <c r="G103" s="11" t="str">
        <f ca="1">IFERROR(__xludf.DUMMYFUNCTION("""COMPUTED_VALUE"""),"Second Year (Graduation Year of Passing:- 2029)")</f>
        <v>Second Year (Graduation Year of Passing:- 2029)</v>
      </c>
      <c r="H103" s="34" t="str">
        <f ca="1">IFERROR(__xludf.DUMMYFUNCTION("""COMPUTED_VALUE"""),"ECS")</f>
        <v>ECS</v>
      </c>
      <c r="I103" s="11" t="str">
        <f ca="1">IFERROR(__xludf.DUMMYFUNCTION("""COMPUTED_VALUE"""),"Complete C2C (Aptitude + Soft Skills + Technical) training - Rs 3500/-")</f>
        <v>Complete C2C (Aptitude + Soft Skills + Technical) training - Rs 3500/-</v>
      </c>
      <c r="J103" s="35" t="str">
        <f ca="1">IFERROR(__xludf.DUMMYFUNCTION("""COMPUTED_VALUE"""),"https://drive.google.com/open?id=1aWIbyvrJBTVgVC2KnKY_7kDxCg8d0QHT")</f>
        <v>https://drive.google.com/open?id=1aWIbyvrJBTVgVC2KnKY_7kDxCg8d0QHT</v>
      </c>
      <c r="K103" s="44">
        <v>3500</v>
      </c>
      <c r="L103" s="76" t="s">
        <v>429</v>
      </c>
      <c r="M103" s="64" t="s">
        <v>101</v>
      </c>
      <c r="N103" s="37" t="s">
        <v>104</v>
      </c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22.5" customHeight="1" x14ac:dyDescent="0.25">
      <c r="A104" s="29">
        <f ca="1">IFERROR(__xludf.DUMMYFUNCTION("""COMPUTED_VALUE"""),46248.8400887152)</f>
        <v>46248.840088715202</v>
      </c>
      <c r="B104" s="11" t="str">
        <f ca="1">IFERROR(__xludf.DUMMYFUNCTION("""COMPUTED_VALUE"""),"vu1f2526016@pvppcoe.ac.in")</f>
        <v>vu1f2526016@pvppcoe.ac.in</v>
      </c>
      <c r="C104" s="11" t="str">
        <f ca="1">IFERROR(__xludf.DUMMYFUNCTION("""COMPUTED_VALUE"""),"VU1F2526016")</f>
        <v>VU1F2526016</v>
      </c>
      <c r="D104" s="11" t="str">
        <f ca="1">IFERROR(__xludf.DUMMYFUNCTION("""COMPUTED_VALUE"""),"vu1f2526016@pvppcoe.ac.in")</f>
        <v>vu1f2526016@pvppcoe.ac.in</v>
      </c>
      <c r="E104" s="11" t="str">
        <f ca="1">IFERROR(__xludf.DUMMYFUNCTION("""COMPUTED_VALUE"""),"Parab Tirtha Ratnakar ")</f>
        <v xml:space="preserve">Parab Tirtha Ratnakar </v>
      </c>
      <c r="F104" s="11">
        <f ca="1">IFERROR(__xludf.DUMMYFUNCTION("""COMPUTED_VALUE"""),8850811196)</f>
        <v>8850811196</v>
      </c>
      <c r="G104" s="11" t="str">
        <f ca="1">IFERROR(__xludf.DUMMYFUNCTION("""COMPUTED_VALUE"""),"Second Year (Graduation Year of Passing:- 2029)")</f>
        <v>Second Year (Graduation Year of Passing:- 2029)</v>
      </c>
      <c r="H104" s="34" t="str">
        <f ca="1">IFERROR(__xludf.DUMMYFUNCTION("""COMPUTED_VALUE"""),"CS")</f>
        <v>CS</v>
      </c>
      <c r="I104" s="11" t="str">
        <f ca="1">IFERROR(__xludf.DUMMYFUNCTION("""COMPUTED_VALUE"""),"Complete C2C (Aptitude + Soft Skills + Technical) training - Rs 3500/-")</f>
        <v>Complete C2C (Aptitude + Soft Skills + Technical) training - Rs 3500/-</v>
      </c>
      <c r="J104" s="35" t="str">
        <f ca="1">IFERROR(__xludf.DUMMYFUNCTION("""COMPUTED_VALUE"""),"https://drive.google.com/open?id=1gzI6F-aLXiFLPaVGhFufrhu7o4lAhtty")</f>
        <v>https://drive.google.com/open?id=1gzI6F-aLXiFLPaVGhFufrhu7o4lAhtty</v>
      </c>
      <c r="K104" s="44">
        <v>3500</v>
      </c>
      <c r="L104" s="76" t="s">
        <v>429</v>
      </c>
      <c r="M104" s="65" t="s">
        <v>101</v>
      </c>
      <c r="N104" s="37" t="s">
        <v>798</v>
      </c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22.5" customHeight="1" x14ac:dyDescent="0.25">
      <c r="A105" s="29">
        <f ca="1">IFERROR(__xludf.DUMMYFUNCTION("""COMPUTED_VALUE"""),46248.841691956)</f>
        <v>46248.841691955997</v>
      </c>
      <c r="B105" s="11" t="str">
        <f ca="1">IFERROR(__xludf.DUMMYFUNCTION("""COMPUTED_VALUE"""),"vu7f2526011@pvppcoe.ac.in")</f>
        <v>vu7f2526011@pvppcoe.ac.in</v>
      </c>
      <c r="C105" s="11" t="str">
        <f ca="1">IFERROR(__xludf.DUMMYFUNCTION("""COMPUTED_VALUE"""),"VU7F2526011")</f>
        <v>VU7F2526011</v>
      </c>
      <c r="D105" s="11" t="str">
        <f ca="1">IFERROR(__xludf.DUMMYFUNCTION("""COMPUTED_VALUE"""),"vu7f2526011@pvppcoe.ac.in")</f>
        <v>vu7f2526011@pvppcoe.ac.in</v>
      </c>
      <c r="E105" s="11" t="str">
        <f ca="1">IFERROR(__xludf.DUMMYFUNCTION("""COMPUTED_VALUE"""),"MAGARE YASH TULSHIRAM ")</f>
        <v xml:space="preserve">MAGARE YASH TULSHIRAM </v>
      </c>
      <c r="F105" s="11">
        <f ca="1">IFERROR(__xludf.DUMMYFUNCTION("""COMPUTED_VALUE"""),9209969299)</f>
        <v>9209969299</v>
      </c>
      <c r="G105" s="11" t="str">
        <f ca="1">IFERROR(__xludf.DUMMYFUNCTION("""COMPUTED_VALUE"""),"Second Year (Graduation Year of Passing:- 2029)")</f>
        <v>Second Year (Graduation Year of Passing:- 2029)</v>
      </c>
      <c r="H105" s="34" t="str">
        <f ca="1">IFERROR(__xludf.DUMMYFUNCTION("""COMPUTED_VALUE"""),"Mechatronics")</f>
        <v>Mechatronics</v>
      </c>
      <c r="I105" s="11" t="str">
        <f ca="1">IFERROR(__xludf.DUMMYFUNCTION("""COMPUTED_VALUE"""),"Complete C2C (Aptitude + Soft Skills + Technical) training - Rs 3500/-")</f>
        <v>Complete C2C (Aptitude + Soft Skills + Technical) training - Rs 3500/-</v>
      </c>
      <c r="J105" s="35" t="str">
        <f ca="1">IFERROR(__xludf.DUMMYFUNCTION("""COMPUTED_VALUE"""),"https://drive.google.com/open?id=1yijBvusVoWQ_lKrQnaeH2-ZQc-l6DRRw")</f>
        <v>https://drive.google.com/open?id=1yijBvusVoWQ_lKrQnaeH2-ZQc-l6DRRw</v>
      </c>
      <c r="K105" s="44">
        <v>3500</v>
      </c>
      <c r="L105" s="76" t="s">
        <v>429</v>
      </c>
      <c r="M105" s="64" t="s">
        <v>101</v>
      </c>
      <c r="N105" s="44" t="s">
        <v>104</v>
      </c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22.5" customHeight="1" x14ac:dyDescent="0.25">
      <c r="A106" s="29">
        <f ca="1">IFERROR(__xludf.DUMMYFUNCTION("""COMPUTED_VALUE"""),46248.8428406134)</f>
        <v>46248.842840613397</v>
      </c>
      <c r="B106" s="11" t="str">
        <f ca="1">IFERROR(__xludf.DUMMYFUNCTION("""COMPUTED_VALUE"""),"vu1f2526026@pvppcoe.ac.in")</f>
        <v>vu1f2526026@pvppcoe.ac.in</v>
      </c>
      <c r="C106" s="11" t="str">
        <f ca="1">IFERROR(__xludf.DUMMYFUNCTION("""COMPUTED_VALUE"""),"VU1F2526026")</f>
        <v>VU1F2526026</v>
      </c>
      <c r="D106" s="11" t="str">
        <f ca="1">IFERROR(__xludf.DUMMYFUNCTION("""COMPUTED_VALUE"""),"vu1f2526026@pvppcoe.ac.in")</f>
        <v>vu1f2526026@pvppcoe.ac.in</v>
      </c>
      <c r="E106" s="11" t="str">
        <f ca="1">IFERROR(__xludf.DUMMYFUNCTION("""COMPUTED_VALUE"""),"Nailwal Prisha Bhuwan ")</f>
        <v xml:space="preserve">Nailwal Prisha Bhuwan </v>
      </c>
      <c r="F106" s="11">
        <f ca="1">IFERROR(__xludf.DUMMYFUNCTION("""COMPUTED_VALUE"""),8291329439)</f>
        <v>8291329439</v>
      </c>
      <c r="G106" s="11" t="str">
        <f ca="1">IFERROR(__xludf.DUMMYFUNCTION("""COMPUTED_VALUE"""),"Second Year (Graduation Year of Passing:- 2029)")</f>
        <v>Second Year (Graduation Year of Passing:- 2029)</v>
      </c>
      <c r="H106" s="34" t="str">
        <f ca="1">IFERROR(__xludf.DUMMYFUNCTION("""COMPUTED_VALUE"""),"CS")</f>
        <v>CS</v>
      </c>
      <c r="I106" s="11" t="str">
        <f ca="1">IFERROR(__xludf.DUMMYFUNCTION("""COMPUTED_VALUE"""),"Complete C2C (Aptitude + Soft Skills + Technical) training - Rs 3500/-")</f>
        <v>Complete C2C (Aptitude + Soft Skills + Technical) training - Rs 3500/-</v>
      </c>
      <c r="J106" s="35" t="str">
        <f ca="1">IFERROR(__xludf.DUMMYFUNCTION("""COMPUTED_VALUE"""),"https://drive.google.com/open?id=1P8IP2jgDwsa-3bvJEqJxXE0KLo0HkZhD")</f>
        <v>https://drive.google.com/open?id=1P8IP2jgDwsa-3bvJEqJxXE0KLo0HkZhD</v>
      </c>
      <c r="K106" s="44">
        <v>3500</v>
      </c>
      <c r="L106" s="76" t="s">
        <v>429</v>
      </c>
      <c r="M106" s="64" t="s">
        <v>101</v>
      </c>
      <c r="N106" s="44" t="s">
        <v>104</v>
      </c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22.5" customHeight="1" x14ac:dyDescent="0.25">
      <c r="A107" s="29">
        <f ca="1">IFERROR(__xludf.DUMMYFUNCTION("""COMPUTED_VALUE"""),46248.853537824)</f>
        <v>46248.853537823998</v>
      </c>
      <c r="B107" s="11" t="str">
        <f ca="1">IFERROR(__xludf.DUMMYFUNCTION("""COMPUTED_VALUE"""),"vu1f2526002@pvppcoe.ac.in")</f>
        <v>vu1f2526002@pvppcoe.ac.in</v>
      </c>
      <c r="C107" s="11" t="str">
        <f ca="1">IFERROR(__xludf.DUMMYFUNCTION("""COMPUTED_VALUE"""),"VU1F2526002")</f>
        <v>VU1F2526002</v>
      </c>
      <c r="D107" s="11" t="str">
        <f ca="1">IFERROR(__xludf.DUMMYFUNCTION("""COMPUTED_VALUE"""),"vu1f2526002@pvppcoe.ac.in")</f>
        <v>vu1f2526002@pvppcoe.ac.in</v>
      </c>
      <c r="E107" s="11" t="str">
        <f ca="1">IFERROR(__xludf.DUMMYFUNCTION("""COMPUTED_VALUE"""),"MHASKAR SUVEDH SUNIL")</f>
        <v>MHASKAR SUVEDH SUNIL</v>
      </c>
      <c r="F107" s="11">
        <f ca="1">IFERROR(__xludf.DUMMYFUNCTION("""COMPUTED_VALUE"""),9321727748)</f>
        <v>9321727748</v>
      </c>
      <c r="G107" s="11" t="str">
        <f ca="1">IFERROR(__xludf.DUMMYFUNCTION("""COMPUTED_VALUE"""),"Second Year (Graduation Year of Passing:- 2029)")</f>
        <v>Second Year (Graduation Year of Passing:- 2029)</v>
      </c>
      <c r="H107" s="34" t="str">
        <f ca="1">IFERROR(__xludf.DUMMYFUNCTION("""COMPUTED_VALUE"""),"CS")</f>
        <v>CS</v>
      </c>
      <c r="I107" s="11" t="str">
        <f ca="1">IFERROR(__xludf.DUMMYFUNCTION("""COMPUTED_VALUE"""),"Complete C2C (Aptitude + Soft Skills + Technical) training - Rs 3500/-")</f>
        <v>Complete C2C (Aptitude + Soft Skills + Technical) training - Rs 3500/-</v>
      </c>
      <c r="J107" s="35" t="str">
        <f ca="1">IFERROR(__xludf.DUMMYFUNCTION("""COMPUTED_VALUE"""),"https://drive.google.com/open?id=1tEAsWjXaBuWWuqH3szUfszcakRGQAEkB")</f>
        <v>https://drive.google.com/open?id=1tEAsWjXaBuWWuqH3szUfszcakRGQAEkB</v>
      </c>
      <c r="K107" s="44">
        <v>3500</v>
      </c>
      <c r="L107" s="76" t="s">
        <v>429</v>
      </c>
      <c r="M107" s="64" t="s">
        <v>101</v>
      </c>
      <c r="N107" s="44" t="s">
        <v>104</v>
      </c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22.5" customHeight="1" x14ac:dyDescent="0.25">
      <c r="A108" s="29">
        <f ca="1">IFERROR(__xludf.DUMMYFUNCTION("""COMPUTED_VALUE"""),46248.8611672222)</f>
        <v>46248.861167222203</v>
      </c>
      <c r="B108" s="11" t="str">
        <f ca="1">IFERROR(__xludf.DUMMYFUNCTION("""COMPUTED_VALUE"""),"vu3f2526063@pvppcoe.ac.in")</f>
        <v>vu3f2526063@pvppcoe.ac.in</v>
      </c>
      <c r="C108" s="11" t="str">
        <f ca="1">IFERROR(__xludf.DUMMYFUNCTION("""COMPUTED_VALUE"""),"VU3F2526063")</f>
        <v>VU3F2526063</v>
      </c>
      <c r="D108" s="11" t="str">
        <f ca="1">IFERROR(__xludf.DUMMYFUNCTION("""COMPUTED_VALUE"""),"vu3f2526063@pvppcoe.ac.in")</f>
        <v>vu3f2526063@pvppcoe.ac.in</v>
      </c>
      <c r="E108" s="11" t="str">
        <f ca="1">IFERROR(__xludf.DUMMYFUNCTION("""COMPUTED_VALUE"""),"Sawant Aditya Vinod")</f>
        <v>Sawant Aditya Vinod</v>
      </c>
      <c r="F108" s="11">
        <f ca="1">IFERROR(__xludf.DUMMYFUNCTION("""COMPUTED_VALUE"""),7208178218)</f>
        <v>7208178218</v>
      </c>
      <c r="G108" s="11" t="str">
        <f ca="1">IFERROR(__xludf.DUMMYFUNCTION("""COMPUTED_VALUE"""),"Second Year (Graduation Year of Passing:- 2029)")</f>
        <v>Second Year (Graduation Year of Passing:- 2029)</v>
      </c>
      <c r="H108" s="34" t="str">
        <f ca="1">IFERROR(__xludf.DUMMYFUNCTION("""COMPUTED_VALUE"""),"ECS")</f>
        <v>ECS</v>
      </c>
      <c r="I108" s="11" t="str">
        <f ca="1">IFERROR(__xludf.DUMMYFUNCTION("""COMPUTED_VALUE"""),"Complete C2C (Aptitude + Soft Skills + Technical) training - Rs 3500/-")</f>
        <v>Complete C2C (Aptitude + Soft Skills + Technical) training - Rs 3500/-</v>
      </c>
      <c r="J108" s="35" t="str">
        <f ca="1">IFERROR(__xludf.DUMMYFUNCTION("""COMPUTED_VALUE"""),"https://drive.google.com/open?id=1hygWFPvyhoRx_kxg1bJsSjTwCNJavJn3")</f>
        <v>https://drive.google.com/open?id=1hygWFPvyhoRx_kxg1bJsSjTwCNJavJn3</v>
      </c>
      <c r="K108" s="44">
        <v>3500</v>
      </c>
      <c r="L108" s="76" t="s">
        <v>429</v>
      </c>
      <c r="M108" s="64" t="s">
        <v>101</v>
      </c>
      <c r="N108" s="44" t="s">
        <v>104</v>
      </c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22.5" customHeight="1" x14ac:dyDescent="0.25">
      <c r="A109" s="29">
        <f ca="1">IFERROR(__xludf.DUMMYFUNCTION("""COMPUTED_VALUE"""),46248.8680051273)</f>
        <v>46248.868005127297</v>
      </c>
      <c r="B109" s="11" t="str">
        <f ca="1">IFERROR(__xludf.DUMMYFUNCTION("""COMPUTED_VALUE"""),"vu3f2526064@pvppcoe.ac.in")</f>
        <v>vu3f2526064@pvppcoe.ac.in</v>
      </c>
      <c r="C109" s="11" t="str">
        <f ca="1">IFERROR(__xludf.DUMMYFUNCTION("""COMPUTED_VALUE"""),"VU3F2526064")</f>
        <v>VU3F2526064</v>
      </c>
      <c r="D109" s="11" t="str">
        <f ca="1">IFERROR(__xludf.DUMMYFUNCTION("""COMPUTED_VALUE"""),"vu3f2526064@pvppcoe.ac.in")</f>
        <v>vu3f2526064@pvppcoe.ac.in</v>
      </c>
      <c r="E109" s="11" t="str">
        <f ca="1">IFERROR(__xludf.DUMMYFUNCTION("""COMPUTED_VALUE"""),"Raut Ashmi Amir")</f>
        <v>Raut Ashmi Amir</v>
      </c>
      <c r="F109" s="11">
        <f ca="1">IFERROR(__xludf.DUMMYFUNCTION("""COMPUTED_VALUE"""),9136103276)</f>
        <v>9136103276</v>
      </c>
      <c r="G109" s="11" t="str">
        <f ca="1">IFERROR(__xludf.DUMMYFUNCTION("""COMPUTED_VALUE"""),"Second Year (Graduation Year of Passing:- 2029)")</f>
        <v>Second Year (Graduation Year of Passing:- 2029)</v>
      </c>
      <c r="H109" s="34" t="str">
        <f ca="1">IFERROR(__xludf.DUMMYFUNCTION("""COMPUTED_VALUE"""),"ECS")</f>
        <v>ECS</v>
      </c>
      <c r="I109" s="11" t="str">
        <f ca="1">IFERROR(__xludf.DUMMYFUNCTION("""COMPUTED_VALUE"""),"Complete C2C (Aptitude + Soft Skills + Technical) training - Rs 3500/-")</f>
        <v>Complete C2C (Aptitude + Soft Skills + Technical) training - Rs 3500/-</v>
      </c>
      <c r="J109" s="35" t="str">
        <f ca="1">IFERROR(__xludf.DUMMYFUNCTION("""COMPUTED_VALUE"""),"https://drive.google.com/open?id=1Z-0W8-plfvOtUyMgELxIxVwRfZ3kE0aZ")</f>
        <v>https://drive.google.com/open?id=1Z-0W8-plfvOtUyMgELxIxVwRfZ3kE0aZ</v>
      </c>
      <c r="K109" s="44">
        <v>3500</v>
      </c>
      <c r="L109" s="76" t="s">
        <v>429</v>
      </c>
      <c r="M109" s="64" t="s">
        <v>101</v>
      </c>
      <c r="N109" s="44" t="s">
        <v>104</v>
      </c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22.5" customHeight="1" x14ac:dyDescent="0.25">
      <c r="A110" s="29">
        <f ca="1">IFERROR(__xludf.DUMMYFUNCTION("""COMPUTED_VALUE"""),46248.9110033333)</f>
        <v>46248.911003333298</v>
      </c>
      <c r="B110" s="11" t="str">
        <f ca="1">IFERROR(__xludf.DUMMYFUNCTION("""COMPUTED_VALUE"""),"vu4f2526001@pvppcoe.ac.in")</f>
        <v>vu4f2526001@pvppcoe.ac.in</v>
      </c>
      <c r="C110" s="11" t="str">
        <f ca="1">IFERROR(__xludf.DUMMYFUNCTION("""COMPUTED_VALUE"""),"VU4F2526001")</f>
        <v>VU4F2526001</v>
      </c>
      <c r="D110" s="11" t="str">
        <f ca="1">IFERROR(__xludf.DUMMYFUNCTION("""COMPUTED_VALUE"""),"vu4f2526001@pvppcoe.ac.in")</f>
        <v>vu4f2526001@pvppcoe.ac.in</v>
      </c>
      <c r="E110" s="11" t="str">
        <f ca="1">IFERROR(__xludf.DUMMYFUNCTION("""COMPUTED_VALUE"""),"Thakur Shivam Omprakash")</f>
        <v>Thakur Shivam Omprakash</v>
      </c>
      <c r="F110" s="11">
        <f ca="1">IFERROR(__xludf.DUMMYFUNCTION("""COMPUTED_VALUE"""),8828593750)</f>
        <v>8828593750</v>
      </c>
      <c r="G110" s="11" t="str">
        <f ca="1">IFERROR(__xludf.DUMMYFUNCTION("""COMPUTED_VALUE"""),"Second Year (Graduation Year of Passing:- 2029)")</f>
        <v>Second Year (Graduation Year of Passing:- 2029)</v>
      </c>
      <c r="H110" s="34" t="str">
        <f ca="1">IFERROR(__xludf.DUMMYFUNCTION("""COMPUTED_VALUE"""),"IT")</f>
        <v>IT</v>
      </c>
      <c r="I110" s="11" t="str">
        <f ca="1">IFERROR(__xludf.DUMMYFUNCTION("""COMPUTED_VALUE"""),"Complete C2C (Aptitude + Soft Skills + Technical) training - Rs 3500/-")</f>
        <v>Complete C2C (Aptitude + Soft Skills + Technical) training - Rs 3500/-</v>
      </c>
      <c r="J110" s="35" t="str">
        <f ca="1">IFERROR(__xludf.DUMMYFUNCTION("""COMPUTED_VALUE"""),"https://drive.google.com/open?id=1BsEi3TYUlBH_VY7FmKJVB2BBe3ZFyO3U")</f>
        <v>https://drive.google.com/open?id=1BsEi3TYUlBH_VY7FmKJVB2BBe3ZFyO3U</v>
      </c>
      <c r="K110" s="44">
        <v>3500</v>
      </c>
      <c r="L110" s="76" t="s">
        <v>429</v>
      </c>
      <c r="M110" s="64" t="s">
        <v>101</v>
      </c>
      <c r="N110" s="44" t="s">
        <v>104</v>
      </c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22.5" customHeight="1" x14ac:dyDescent="0.25">
      <c r="A111" s="29">
        <f ca="1">IFERROR(__xludf.DUMMYFUNCTION("""COMPUTED_VALUE"""),46248.9136526504)</f>
        <v>46248.913652650401</v>
      </c>
      <c r="B111" s="11" t="str">
        <f ca="1">IFERROR(__xludf.DUMMYFUNCTION("""COMPUTED_VALUE"""),"vu1f2526046@pvppcoe.ac.in")</f>
        <v>vu1f2526046@pvppcoe.ac.in</v>
      </c>
      <c r="C111" s="11" t="str">
        <f ca="1">IFERROR(__xludf.DUMMYFUNCTION("""COMPUTED_VALUE"""),"VU1F2526046")</f>
        <v>VU1F2526046</v>
      </c>
      <c r="D111" s="11" t="str">
        <f ca="1">IFERROR(__xludf.DUMMYFUNCTION("""COMPUTED_VALUE"""),"vu1f2526046@pvppcoe.ac.in")</f>
        <v>vu1f2526046@pvppcoe.ac.in</v>
      </c>
      <c r="E111" s="11" t="str">
        <f ca="1">IFERROR(__xludf.DUMMYFUNCTION("""COMPUTED_VALUE"""),"PATIL RAJ CHETAN")</f>
        <v>PATIL RAJ CHETAN</v>
      </c>
      <c r="F111" s="11">
        <f ca="1">IFERROR(__xludf.DUMMYFUNCTION("""COMPUTED_VALUE"""),8087508532)</f>
        <v>8087508532</v>
      </c>
      <c r="G111" s="11" t="str">
        <f ca="1">IFERROR(__xludf.DUMMYFUNCTION("""COMPUTED_VALUE"""),"Second Year (Graduation Year of Passing:- 2029)")</f>
        <v>Second Year (Graduation Year of Passing:- 2029)</v>
      </c>
      <c r="H111" s="34" t="str">
        <f ca="1">IFERROR(__xludf.DUMMYFUNCTION("""COMPUTED_VALUE"""),"CS")</f>
        <v>CS</v>
      </c>
      <c r="I111" s="11" t="str">
        <f ca="1">IFERROR(__xludf.DUMMYFUNCTION("""COMPUTED_VALUE"""),"Complete C2C (Aptitude + Soft Skills + Technical) training - Rs 3500/-")</f>
        <v>Complete C2C (Aptitude + Soft Skills + Technical) training - Rs 3500/-</v>
      </c>
      <c r="J111" s="35" t="str">
        <f ca="1">IFERROR(__xludf.DUMMYFUNCTION("""COMPUTED_VALUE"""),"https://drive.google.com/open?id=11RD3VTx5IuLZx2mjyj-IGQmF0gc-Xqdm")</f>
        <v>https://drive.google.com/open?id=11RD3VTx5IuLZx2mjyj-IGQmF0gc-Xqdm</v>
      </c>
      <c r="K111" s="44">
        <v>3500</v>
      </c>
      <c r="L111" s="64" t="s">
        <v>429</v>
      </c>
      <c r="M111" s="64" t="s">
        <v>101</v>
      </c>
      <c r="N111" s="44" t="s">
        <v>104</v>
      </c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22.5" customHeight="1" x14ac:dyDescent="0.25">
      <c r="A112" s="29">
        <f ca="1">IFERROR(__xludf.DUMMYFUNCTION("""COMPUTED_VALUE"""),46248.9214766782)</f>
        <v>46248.921476678202</v>
      </c>
      <c r="B112" s="11" t="str">
        <f ca="1">IFERROR(__xludf.DUMMYFUNCTION("""COMPUTED_VALUE"""),"vu1f2526047@pvppcoe.ac.in")</f>
        <v>vu1f2526047@pvppcoe.ac.in</v>
      </c>
      <c r="C112" s="11" t="str">
        <f ca="1">IFERROR(__xludf.DUMMYFUNCTION("""COMPUTED_VALUE"""),"VU1F2526047 ")</f>
        <v xml:space="preserve">VU1F2526047 </v>
      </c>
      <c r="D112" s="11" t="str">
        <f ca="1">IFERROR(__xludf.DUMMYFUNCTION("""COMPUTED_VALUE"""),"vu1f2526047@pvppcoe.ac.in")</f>
        <v>vu1f2526047@pvppcoe.ac.in</v>
      </c>
      <c r="E112" s="11" t="str">
        <f ca="1">IFERROR(__xludf.DUMMYFUNCTION("""COMPUTED_VALUE"""),"MADHAVI SOHAM MAHENDRA ")</f>
        <v xml:space="preserve">MADHAVI SOHAM MAHENDRA </v>
      </c>
      <c r="F112" s="11" t="str">
        <f ca="1">IFERROR(__xludf.DUMMYFUNCTION("""COMPUTED_VALUE"""),"+91 8928618101")</f>
        <v>+91 8928618101</v>
      </c>
      <c r="G112" s="11" t="str">
        <f ca="1">IFERROR(__xludf.DUMMYFUNCTION("""COMPUTED_VALUE"""),"Second Year (Graduation Year of Passing:- 2029)")</f>
        <v>Second Year (Graduation Year of Passing:- 2029)</v>
      </c>
      <c r="H112" s="34" t="str">
        <f ca="1">IFERROR(__xludf.DUMMYFUNCTION("""COMPUTED_VALUE"""),"CS")</f>
        <v>CS</v>
      </c>
      <c r="I112" s="11" t="str">
        <f ca="1">IFERROR(__xludf.DUMMYFUNCTION("""COMPUTED_VALUE"""),"Complete C2C (Aptitude + Soft Skills + Technical) training - Rs 3500/-")</f>
        <v>Complete C2C (Aptitude + Soft Skills + Technical) training - Rs 3500/-</v>
      </c>
      <c r="J112" s="35" t="str">
        <f ca="1">IFERROR(__xludf.DUMMYFUNCTION("""COMPUTED_VALUE"""),"https://drive.google.com/open?id=11z7oibcrrzCZ-ZbmHECHB_sZEw6ZJQDo")</f>
        <v>https://drive.google.com/open?id=11z7oibcrrzCZ-ZbmHECHB_sZEw6ZJQDo</v>
      </c>
      <c r="K112" s="37">
        <v>3500</v>
      </c>
      <c r="L112" s="65" t="s">
        <v>429</v>
      </c>
      <c r="M112" s="64" t="s">
        <v>101</v>
      </c>
      <c r="N112" s="44" t="s">
        <v>104</v>
      </c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22.5" customHeight="1" x14ac:dyDescent="0.25">
      <c r="A113" s="29">
        <f ca="1">IFERROR(__xludf.DUMMYFUNCTION("""COMPUTED_VALUE"""),46248.9260005555)</f>
        <v>46248.926000555497</v>
      </c>
      <c r="B113" s="11" t="str">
        <f ca="1">IFERROR(__xludf.DUMMYFUNCTION("""COMPUTED_VALUE"""),"vu3f2526128@pvppcoe.ac.in")</f>
        <v>vu3f2526128@pvppcoe.ac.in</v>
      </c>
      <c r="C113" s="11" t="str">
        <f ca="1">IFERROR(__xludf.DUMMYFUNCTION("""COMPUTED_VALUE"""),"VU3F2526128")</f>
        <v>VU3F2526128</v>
      </c>
      <c r="D113" s="11" t="str">
        <f ca="1">IFERROR(__xludf.DUMMYFUNCTION("""COMPUTED_VALUE"""),"vu3f2526128@pvppcoe.ac.in")</f>
        <v>vu3f2526128@pvppcoe.ac.in</v>
      </c>
      <c r="E113" s="11" t="str">
        <f ca="1">IFERROR(__xludf.DUMMYFUNCTION("""COMPUTED_VALUE"""),"Lad Swarnita Sudhir")</f>
        <v>Lad Swarnita Sudhir</v>
      </c>
      <c r="F113" s="11">
        <f ca="1">IFERROR(__xludf.DUMMYFUNCTION("""COMPUTED_VALUE"""),8657734516)</f>
        <v>8657734516</v>
      </c>
      <c r="G113" s="11" t="str">
        <f ca="1">IFERROR(__xludf.DUMMYFUNCTION("""COMPUTED_VALUE"""),"Second Year (Graduation Year of Passing:- 2029)")</f>
        <v>Second Year (Graduation Year of Passing:- 2029)</v>
      </c>
      <c r="H113" s="34" t="str">
        <f ca="1">IFERROR(__xludf.DUMMYFUNCTION("""COMPUTED_VALUE"""),"ECS")</f>
        <v>ECS</v>
      </c>
      <c r="I113" s="11" t="str">
        <f ca="1">IFERROR(__xludf.DUMMYFUNCTION("""COMPUTED_VALUE"""),"Complete C2C (Aptitude + Soft Skills + Technical) training - Rs 3500/-")</f>
        <v>Complete C2C (Aptitude + Soft Skills + Technical) training - Rs 3500/-</v>
      </c>
      <c r="J113" s="35" t="str">
        <f ca="1">IFERROR(__xludf.DUMMYFUNCTION("""COMPUTED_VALUE"""),"https://drive.google.com/open?id=1cA2DWQBXBYwYbi5X9pdCAHTU0lyX7084")</f>
        <v>https://drive.google.com/open?id=1cA2DWQBXBYwYbi5X9pdCAHTU0lyX7084</v>
      </c>
      <c r="K113" s="44">
        <v>3500</v>
      </c>
      <c r="L113" s="64" t="s">
        <v>429</v>
      </c>
      <c r="M113" s="64" t="s">
        <v>101</v>
      </c>
      <c r="N113" s="44" t="s">
        <v>104</v>
      </c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22.5" customHeight="1" x14ac:dyDescent="0.25">
      <c r="A114" s="29">
        <f ca="1">IFERROR(__xludf.DUMMYFUNCTION("""COMPUTED_VALUE"""),46248.9273746527)</f>
        <v>46248.927374652703</v>
      </c>
      <c r="B114" s="11" t="str">
        <f ca="1">IFERROR(__xludf.DUMMYFUNCTION("""COMPUTED_VALUE"""),"vu2f2526075@pvppcoe.ac.in")</f>
        <v>vu2f2526075@pvppcoe.ac.in</v>
      </c>
      <c r="C114" s="11" t="str">
        <f ca="1">IFERROR(__xludf.DUMMYFUNCTION("""COMPUTED_VALUE"""),"VU2F2526075 ")</f>
        <v xml:space="preserve">VU2F2526075 </v>
      </c>
      <c r="D114" s="11" t="str">
        <f ca="1">IFERROR(__xludf.DUMMYFUNCTION("""COMPUTED_VALUE"""),"vu2f2526075@pvppcoe.ac.in")</f>
        <v>vu2f2526075@pvppcoe.ac.in</v>
      </c>
      <c r="E114" s="11" t="str">
        <f ca="1">IFERROR(__xludf.DUMMYFUNCTION("""COMPUTED_VALUE"""),"Vuradi Harshini Naresh ")</f>
        <v xml:space="preserve">Vuradi Harshini Naresh </v>
      </c>
      <c r="F114" s="11">
        <f ca="1">IFERROR(__xludf.DUMMYFUNCTION("""COMPUTED_VALUE"""),9004989528)</f>
        <v>9004989528</v>
      </c>
      <c r="G114" s="11" t="str">
        <f ca="1">IFERROR(__xludf.DUMMYFUNCTION("""COMPUTED_VALUE"""),"Second Year (Graduation Year of Passing:- 2029)")</f>
        <v>Second Year (Graduation Year of Passing:- 2029)</v>
      </c>
      <c r="H114" s="34" t="str">
        <f ca="1">IFERROR(__xludf.DUMMYFUNCTION("""COMPUTED_VALUE"""),"AI &amp; ML")</f>
        <v>AI &amp; ML</v>
      </c>
      <c r="I114" s="11" t="str">
        <f ca="1">IFERROR(__xludf.DUMMYFUNCTION("""COMPUTED_VALUE"""),"Complete C2C (Aptitude + Soft Skills + Technical) training - Rs 3500/-")</f>
        <v>Complete C2C (Aptitude + Soft Skills + Technical) training - Rs 3500/-</v>
      </c>
      <c r="J114" s="35" t="str">
        <f ca="1">IFERROR(__xludf.DUMMYFUNCTION("""COMPUTED_VALUE"""),"https://drive.google.com/open?id=1ZuwCPXEGzUZQS5N0OncSQmaZBghxGurf")</f>
        <v>https://drive.google.com/open?id=1ZuwCPXEGzUZQS5N0OncSQmaZBghxGurf</v>
      </c>
      <c r="K114" s="37">
        <v>3500</v>
      </c>
      <c r="L114" s="65" t="s">
        <v>429</v>
      </c>
      <c r="M114" s="65" t="s">
        <v>101</v>
      </c>
      <c r="N114" s="44" t="s">
        <v>104</v>
      </c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22.5" customHeight="1" x14ac:dyDescent="0.25">
      <c r="A115" s="29">
        <f ca="1">IFERROR(__xludf.DUMMYFUNCTION("""COMPUTED_VALUE"""),46248.9398854629)</f>
        <v>46248.939885462903</v>
      </c>
      <c r="B115" s="11" t="str">
        <f ca="1">IFERROR(__xludf.DUMMYFUNCTION("""COMPUTED_VALUE"""),"vu7f2526037@pvppcoe.ac.in")</f>
        <v>vu7f2526037@pvppcoe.ac.in</v>
      </c>
      <c r="C115" s="11" t="str">
        <f ca="1">IFERROR(__xludf.DUMMYFUNCTION("""COMPUTED_VALUE"""),"VU7F2526037 ")</f>
        <v xml:space="preserve">VU7F2526037 </v>
      </c>
      <c r="D115" s="11" t="str">
        <f ca="1">IFERROR(__xludf.DUMMYFUNCTION("""COMPUTED_VALUE"""),"vu7f2526037@pvppcoe.ac.in")</f>
        <v>vu7f2526037@pvppcoe.ac.in</v>
      </c>
      <c r="E115" s="11" t="str">
        <f ca="1">IFERROR(__xludf.DUMMYFUNCTION("""COMPUTED_VALUE"""),"Addagatla omkar shreenivas ")</f>
        <v xml:space="preserve">Addagatla omkar shreenivas </v>
      </c>
      <c r="F115" s="11">
        <f ca="1">IFERROR(__xludf.DUMMYFUNCTION("""COMPUTED_VALUE"""),9137024507)</f>
        <v>9137024507</v>
      </c>
      <c r="G115" s="11" t="str">
        <f ca="1">IFERROR(__xludf.DUMMYFUNCTION("""COMPUTED_VALUE"""),"Second Year (Graduation Year of Passing:- 2029)")</f>
        <v>Second Year (Graduation Year of Passing:- 2029)</v>
      </c>
      <c r="H115" s="34" t="str">
        <f ca="1">IFERROR(__xludf.DUMMYFUNCTION("""COMPUTED_VALUE"""),"Mechatronics")</f>
        <v>Mechatronics</v>
      </c>
      <c r="I115" s="11" t="str">
        <f ca="1">IFERROR(__xludf.DUMMYFUNCTION("""COMPUTED_VALUE"""),"Complete C2C (Aptitude + Soft Skills + Technical) training - Rs 3500/-")</f>
        <v>Complete C2C (Aptitude + Soft Skills + Technical) training - Rs 3500/-</v>
      </c>
      <c r="J115" s="35" t="str">
        <f ca="1">IFERROR(__xludf.DUMMYFUNCTION("""COMPUTED_VALUE"""),"https://drive.google.com/open?id=1X90MEa4pgm40hurWxQhcFkedqi1npuhr")</f>
        <v>https://drive.google.com/open?id=1X90MEa4pgm40hurWxQhcFkedqi1npuhr</v>
      </c>
      <c r="K115" s="44">
        <v>3500</v>
      </c>
      <c r="L115" s="45" t="s">
        <v>429</v>
      </c>
      <c r="M115" s="65" t="s">
        <v>101</v>
      </c>
      <c r="N115" s="44" t="s">
        <v>104</v>
      </c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22.5" customHeight="1" x14ac:dyDescent="0.25">
      <c r="A116" s="29">
        <f ca="1">IFERROR(__xludf.DUMMYFUNCTION("""COMPUTED_VALUE"""),46248.9415505092)</f>
        <v>46248.941550509197</v>
      </c>
      <c r="B116" s="11" t="str">
        <f ca="1">IFERROR(__xludf.DUMMYFUNCTION("""COMPUTED_VALUE"""),"vu2f2526129@pvppcoe.ac.in")</f>
        <v>vu2f2526129@pvppcoe.ac.in</v>
      </c>
      <c r="C116" s="11" t="str">
        <f ca="1">IFERROR(__xludf.DUMMYFUNCTION("""COMPUTED_VALUE"""),"VU2F2526129")</f>
        <v>VU2F2526129</v>
      </c>
      <c r="D116" s="11" t="str">
        <f ca="1">IFERROR(__xludf.DUMMYFUNCTION("""COMPUTED_VALUE"""),"Vu2f2526129@pvppcoe.ac.in")</f>
        <v>Vu2f2526129@pvppcoe.ac.in</v>
      </c>
      <c r="E116" s="11" t="str">
        <f ca="1">IFERROR(__xludf.DUMMYFUNCTION("""COMPUTED_VALUE"""),"DESHMUKH VISHWESH BAJRANG")</f>
        <v>DESHMUKH VISHWESH BAJRANG</v>
      </c>
      <c r="F116" s="11">
        <f ca="1">IFERROR(__xludf.DUMMYFUNCTION("""COMPUTED_VALUE"""),9987764240)</f>
        <v>9987764240</v>
      </c>
      <c r="G116" s="11" t="str">
        <f ca="1">IFERROR(__xludf.DUMMYFUNCTION("""COMPUTED_VALUE"""),"Second Year (Graduation Year of Passing:- 2029)")</f>
        <v>Second Year (Graduation Year of Passing:- 2029)</v>
      </c>
      <c r="H116" s="34" t="str">
        <f ca="1">IFERROR(__xludf.DUMMYFUNCTION("""COMPUTED_VALUE"""),"AI &amp; ML")</f>
        <v>AI &amp; ML</v>
      </c>
      <c r="I116" s="11" t="str">
        <f ca="1">IFERROR(__xludf.DUMMYFUNCTION("""COMPUTED_VALUE"""),"Complete C2C (Aptitude + Soft Skills + Technical) training - Rs 3500/-")</f>
        <v>Complete C2C (Aptitude + Soft Skills + Technical) training - Rs 3500/-</v>
      </c>
      <c r="J116" s="35" t="str">
        <f ca="1">IFERROR(__xludf.DUMMYFUNCTION("""COMPUTED_VALUE"""),"https://drive.google.com/open?id=1QfLnGwGQq9tw0oyoFOlk4PbwA8C5D07A")</f>
        <v>https://drive.google.com/open?id=1QfLnGwGQq9tw0oyoFOlk4PbwA8C5D07A</v>
      </c>
      <c r="K116" s="37">
        <v>3500</v>
      </c>
      <c r="L116" s="65" t="s">
        <v>429</v>
      </c>
      <c r="M116" s="65" t="s">
        <v>101</v>
      </c>
      <c r="N116" s="44" t="s">
        <v>104</v>
      </c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22.5" customHeight="1" x14ac:dyDescent="0.25">
      <c r="A117" s="29">
        <f ca="1">IFERROR(__xludf.DUMMYFUNCTION("""COMPUTED_VALUE"""),46248.970327199)</f>
        <v>46248.970327199</v>
      </c>
      <c r="B117" s="11" t="str">
        <f ca="1">IFERROR(__xludf.DUMMYFUNCTION("""COMPUTED_VALUE"""),"vu1f2526021@pvppcoe.ac.in")</f>
        <v>vu1f2526021@pvppcoe.ac.in</v>
      </c>
      <c r="C117" s="11" t="str">
        <f ca="1">IFERROR(__xludf.DUMMYFUNCTION("""COMPUTED_VALUE"""),"VU1F2526021")</f>
        <v>VU1F2526021</v>
      </c>
      <c r="D117" s="11" t="str">
        <f ca="1">IFERROR(__xludf.DUMMYFUNCTION("""COMPUTED_VALUE"""),"vu1f2526021@pvppcoe.ac.in")</f>
        <v>vu1f2526021@pvppcoe.ac.in</v>
      </c>
      <c r="E117" s="11" t="str">
        <f ca="1">IFERROR(__xludf.DUMMYFUNCTION("""COMPUTED_VALUE"""),"Shaikh Mohammad Ubaid Mohammed Ismail ")</f>
        <v xml:space="preserve">Shaikh Mohammad Ubaid Mohammed Ismail </v>
      </c>
      <c r="F117" s="11">
        <f ca="1">IFERROR(__xludf.DUMMYFUNCTION("""COMPUTED_VALUE"""),9022237048)</f>
        <v>9022237048</v>
      </c>
      <c r="G117" s="11" t="str">
        <f ca="1">IFERROR(__xludf.DUMMYFUNCTION("""COMPUTED_VALUE"""),"Second Year (Graduation Year of Passing:- 2029)")</f>
        <v>Second Year (Graduation Year of Passing:- 2029)</v>
      </c>
      <c r="H117" s="34" t="str">
        <f ca="1">IFERROR(__xludf.DUMMYFUNCTION("""COMPUTED_VALUE"""),"CS")</f>
        <v>CS</v>
      </c>
      <c r="I117" s="11" t="str">
        <f ca="1">IFERROR(__xludf.DUMMYFUNCTION("""COMPUTED_VALUE"""),"Complete C2C (Aptitude + Soft Skills + Technical) training - Rs 3500/-")</f>
        <v>Complete C2C (Aptitude + Soft Skills + Technical) training - Rs 3500/-</v>
      </c>
      <c r="J117" s="35" t="str">
        <f ca="1">IFERROR(__xludf.DUMMYFUNCTION("""COMPUTED_VALUE"""),"https://drive.google.com/open?id=1Fr-5rKEOYeX_LmLaSk4I1j_w6BO-Sq4K")</f>
        <v>https://drive.google.com/open?id=1Fr-5rKEOYeX_LmLaSk4I1j_w6BO-Sq4K</v>
      </c>
      <c r="K117" s="44">
        <v>3500</v>
      </c>
      <c r="L117" s="64" t="s">
        <v>98</v>
      </c>
      <c r="M117" s="65" t="s">
        <v>101</v>
      </c>
      <c r="N117" s="44" t="s">
        <v>104</v>
      </c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22.5" customHeight="1" x14ac:dyDescent="0.25">
      <c r="A118" s="29">
        <f ca="1">IFERROR(__xludf.DUMMYFUNCTION("""COMPUTED_VALUE"""),46248.9902231828)</f>
        <v>46248.990223182802</v>
      </c>
      <c r="B118" s="11" t="str">
        <f ca="1">IFERROR(__xludf.DUMMYFUNCTION("""COMPUTED_VALUE"""),"vu3f2526062@pvppcoe.ac.in")</f>
        <v>vu3f2526062@pvppcoe.ac.in</v>
      </c>
      <c r="C118" s="11" t="str">
        <f ca="1">IFERROR(__xludf.DUMMYFUNCTION("""COMPUTED_VALUE"""),"VU3F2526062")</f>
        <v>VU3F2526062</v>
      </c>
      <c r="D118" s="11" t="str">
        <f ca="1">IFERROR(__xludf.DUMMYFUNCTION("""COMPUTED_VALUE"""),"vu3f2526062@pvppcoe.ac.in")</f>
        <v>vu3f2526062@pvppcoe.ac.in</v>
      </c>
      <c r="E118" s="11" t="str">
        <f ca="1">IFERROR(__xludf.DUMMYFUNCTION("""COMPUTED_VALUE"""),"Divekar Arya Sanjay")</f>
        <v>Divekar Arya Sanjay</v>
      </c>
      <c r="F118" s="11">
        <f ca="1">IFERROR(__xludf.DUMMYFUNCTION("""COMPUTED_VALUE"""),9136799394)</f>
        <v>9136799394</v>
      </c>
      <c r="G118" s="11" t="str">
        <f ca="1">IFERROR(__xludf.DUMMYFUNCTION("""COMPUTED_VALUE"""),"Second Year (Graduation Year of Passing:- 2029)")</f>
        <v>Second Year (Graduation Year of Passing:- 2029)</v>
      </c>
      <c r="H118" s="34" t="str">
        <f ca="1">IFERROR(__xludf.DUMMYFUNCTION("""COMPUTED_VALUE"""),"ECS")</f>
        <v>ECS</v>
      </c>
      <c r="I118" s="11" t="str">
        <f ca="1">IFERROR(__xludf.DUMMYFUNCTION("""COMPUTED_VALUE"""),"Complete C2C (Aptitude + Soft Skills + Technical) training - Rs 3500/-")</f>
        <v>Complete C2C (Aptitude + Soft Skills + Technical) training - Rs 3500/-</v>
      </c>
      <c r="J118" s="35" t="str">
        <f ca="1">IFERROR(__xludf.DUMMYFUNCTION("""COMPUTED_VALUE"""),"https://drive.google.com/open?id=1rmuYmU9Hu_uPm1xO7IeFpi5GaZBHax6n")</f>
        <v>https://drive.google.com/open?id=1rmuYmU9Hu_uPm1xO7IeFpi5GaZBHax6n</v>
      </c>
      <c r="K118" s="37">
        <v>3500</v>
      </c>
      <c r="L118" s="65" t="s">
        <v>429</v>
      </c>
      <c r="M118" s="65" t="s">
        <v>101</v>
      </c>
      <c r="N118" s="44" t="s">
        <v>104</v>
      </c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22.5" customHeight="1" x14ac:dyDescent="0.25">
      <c r="A119" s="29">
        <f ca="1">IFERROR(__xludf.DUMMYFUNCTION("""COMPUTED_VALUE"""),46249.470570405)</f>
        <v>46249.470570404999</v>
      </c>
      <c r="B119" s="11" t="str">
        <f ca="1">IFERROR(__xludf.DUMMYFUNCTION("""COMPUTED_VALUE"""),"vu2f2526001@pvppcoe.ac.in")</f>
        <v>vu2f2526001@pvppcoe.ac.in</v>
      </c>
      <c r="C119" s="11" t="str">
        <f ca="1">IFERROR(__xludf.DUMMYFUNCTION("""COMPUTED_VALUE"""),"VU2F2526001")</f>
        <v>VU2F2526001</v>
      </c>
      <c r="D119" s="11" t="str">
        <f ca="1">IFERROR(__xludf.DUMMYFUNCTION("""COMPUTED_VALUE"""),"vu2f2526001@pvppcoe.ac.in")</f>
        <v>vu2f2526001@pvppcoe.ac.in</v>
      </c>
      <c r="E119" s="11" t="str">
        <f ca="1">IFERROR(__xludf.DUMMYFUNCTION("""COMPUTED_VALUE"""),"YADAV AKASH CHANDRAJEET")</f>
        <v>YADAV AKASH CHANDRAJEET</v>
      </c>
      <c r="F119" s="11">
        <f ca="1">IFERROR(__xludf.DUMMYFUNCTION("""COMPUTED_VALUE"""),9137387752)</f>
        <v>9137387752</v>
      </c>
      <c r="G119" s="11" t="str">
        <f ca="1">IFERROR(__xludf.DUMMYFUNCTION("""COMPUTED_VALUE"""),"Second Year (Graduation Year of Passing:- 2029)")</f>
        <v>Second Year (Graduation Year of Passing:- 2029)</v>
      </c>
      <c r="H119" s="34" t="str">
        <f ca="1">IFERROR(__xludf.DUMMYFUNCTION("""COMPUTED_VALUE"""),"AI &amp; ML")</f>
        <v>AI &amp; ML</v>
      </c>
      <c r="I119" s="11" t="str">
        <f ca="1">IFERROR(__xludf.DUMMYFUNCTION("""COMPUTED_VALUE"""),"Complete C2C (Aptitude + Soft Skills + Technical) training - Rs 3500/-")</f>
        <v>Complete C2C (Aptitude + Soft Skills + Technical) training - Rs 3500/-</v>
      </c>
      <c r="J119" s="35" t="str">
        <f ca="1">IFERROR(__xludf.DUMMYFUNCTION("""COMPUTED_VALUE"""),"https://drive.google.com/open?id=1-nAzfHZDoWLEVbTSRjbsEU4NXpIqVeIH")</f>
        <v>https://drive.google.com/open?id=1-nAzfHZDoWLEVbTSRjbsEU4NXpIqVeIH</v>
      </c>
      <c r="K119" s="44">
        <v>3500</v>
      </c>
      <c r="L119" s="64" t="s">
        <v>429</v>
      </c>
      <c r="M119" s="65" t="s">
        <v>101</v>
      </c>
      <c r="N119" s="44" t="s">
        <v>104</v>
      </c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22.5" customHeight="1" x14ac:dyDescent="0.25">
      <c r="A120" s="29">
        <f ca="1">IFERROR(__xludf.DUMMYFUNCTION("""COMPUTED_VALUE"""),46249.7862026388)</f>
        <v>46249.786202638803</v>
      </c>
      <c r="B120" s="11" t="str">
        <f ca="1">IFERROR(__xludf.DUMMYFUNCTION("""COMPUTED_VALUE"""),"vu2f2526035@pvppcoe.ac.in")</f>
        <v>vu2f2526035@pvppcoe.ac.in</v>
      </c>
      <c r="C120" s="11" t="str">
        <f ca="1">IFERROR(__xludf.DUMMYFUNCTION("""COMPUTED_VALUE"""),"VU2F2526035")</f>
        <v>VU2F2526035</v>
      </c>
      <c r="D120" s="11" t="str">
        <f ca="1">IFERROR(__xludf.DUMMYFUNCTION("""COMPUTED_VALUE"""),"vu2f2526035@pvppcoe.ac.in")</f>
        <v>vu2f2526035@pvppcoe.ac.in</v>
      </c>
      <c r="E120" s="11" t="str">
        <f ca="1">IFERROR(__xludf.DUMMYFUNCTION("""COMPUTED_VALUE"""),"BHOSALE SARTHAK RAJESH")</f>
        <v>BHOSALE SARTHAK RAJESH</v>
      </c>
      <c r="F120" s="11">
        <f ca="1">IFERROR(__xludf.DUMMYFUNCTION("""COMPUTED_VALUE"""),8169653310)</f>
        <v>8169653310</v>
      </c>
      <c r="G120" s="11" t="str">
        <f ca="1">IFERROR(__xludf.DUMMYFUNCTION("""COMPUTED_VALUE"""),"Second Year (Graduation Year of Passing:- 2029)")</f>
        <v>Second Year (Graduation Year of Passing:- 2029)</v>
      </c>
      <c r="H120" s="34" t="str">
        <f ca="1">IFERROR(__xludf.DUMMYFUNCTION("""COMPUTED_VALUE"""),"AI &amp; ML")</f>
        <v>AI &amp; ML</v>
      </c>
      <c r="I120" s="11" t="str">
        <f ca="1">IFERROR(__xludf.DUMMYFUNCTION("""COMPUTED_VALUE"""),"Only Aptitude &amp; Lifeskills Training - Rs 2000/-")</f>
        <v>Only Aptitude &amp; Lifeskills Training - Rs 2000/-</v>
      </c>
      <c r="J120" s="35" t="str">
        <f ca="1">IFERROR(__xludf.DUMMYFUNCTION("""COMPUTED_VALUE"""),"https://drive.google.com/open?id=1u7mH54wQ-GW6Vrs_KKjbR2EDcqZm9L23")</f>
        <v>https://drive.google.com/open?id=1u7mH54wQ-GW6Vrs_KKjbR2EDcqZm9L23</v>
      </c>
      <c r="K120" s="37">
        <v>2000</v>
      </c>
      <c r="L120" s="38" t="s">
        <v>429</v>
      </c>
      <c r="M120" s="38" t="s">
        <v>101</v>
      </c>
      <c r="N120" s="44" t="s">
        <v>104</v>
      </c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22.5" customHeight="1" x14ac:dyDescent="0.25">
      <c r="A121" s="29">
        <f ca="1">IFERROR(__xludf.DUMMYFUNCTION("""COMPUTED_VALUE"""),46249.9563426504)</f>
        <v>46249.956342650403</v>
      </c>
      <c r="B121" s="11" t="str">
        <f ca="1">IFERROR(__xludf.DUMMYFUNCTION("""COMPUTED_VALUE"""),"vu1f2526044@pvppcoe.ac.in")</f>
        <v>vu1f2526044@pvppcoe.ac.in</v>
      </c>
      <c r="C121" s="11" t="str">
        <f ca="1">IFERROR(__xludf.DUMMYFUNCTION("""COMPUTED_VALUE"""),"VU1F2526044")</f>
        <v>VU1F2526044</v>
      </c>
      <c r="D121" s="11" t="str">
        <f ca="1">IFERROR(__xludf.DUMMYFUNCTION("""COMPUTED_VALUE"""),"vu1f2526044@pvppcoe.ac.in")</f>
        <v>vu1f2526044@pvppcoe.ac.in</v>
      </c>
      <c r="E121" s="11" t="str">
        <f ca="1">IFERROR(__xludf.DUMMYFUNCTION("""COMPUTED_VALUE"""),"Dicholkar Atharva Pandurang ")</f>
        <v xml:space="preserve">Dicholkar Atharva Pandurang </v>
      </c>
      <c r="F121" s="11">
        <f ca="1">IFERROR(__xludf.DUMMYFUNCTION("""COMPUTED_VALUE"""),7045468665)</f>
        <v>7045468665</v>
      </c>
      <c r="G121" s="11" t="str">
        <f ca="1">IFERROR(__xludf.DUMMYFUNCTION("""COMPUTED_VALUE"""),"Second Year (Graduation Year of Passing:- 2029)")</f>
        <v>Second Year (Graduation Year of Passing:- 2029)</v>
      </c>
      <c r="H121" s="34" t="str">
        <f ca="1">IFERROR(__xludf.DUMMYFUNCTION("""COMPUTED_VALUE"""),"CS")</f>
        <v>CS</v>
      </c>
      <c r="I121" s="11" t="str">
        <f ca="1">IFERROR(__xludf.DUMMYFUNCTION("""COMPUTED_VALUE"""),"Complete C2C (Aptitude + Soft Skills + Technical) training - Rs 3500/-")</f>
        <v>Complete C2C (Aptitude + Soft Skills + Technical) training - Rs 3500/-</v>
      </c>
      <c r="J121" s="35" t="str">
        <f ca="1">IFERROR(__xludf.DUMMYFUNCTION("""COMPUTED_VALUE"""),"https://drive.google.com/open?id=13zCU2ARYOOyLXTOAdW25wVBbBhgT6Pgt")</f>
        <v>https://drive.google.com/open?id=13zCU2ARYOOyLXTOAdW25wVBbBhgT6Pgt</v>
      </c>
      <c r="K121" s="44">
        <v>3500</v>
      </c>
      <c r="L121" s="64" t="s">
        <v>429</v>
      </c>
      <c r="M121" s="64" t="s">
        <v>101</v>
      </c>
      <c r="N121" s="44" t="s">
        <v>104</v>
      </c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22.5" customHeight="1" x14ac:dyDescent="0.25">
      <c r="A122" s="29">
        <f ca="1">IFERROR(__xludf.DUMMYFUNCTION("""COMPUTED_VALUE"""),46250.0461385763)</f>
        <v>46250.046138576297</v>
      </c>
      <c r="B122" s="11" t="str">
        <f ca="1">IFERROR(__xludf.DUMMYFUNCTION("""COMPUTED_VALUE"""),"vu2f2526131@pvppcoe.ac.in")</f>
        <v>vu2f2526131@pvppcoe.ac.in</v>
      </c>
      <c r="C122" s="11" t="str">
        <f ca="1">IFERROR(__xludf.DUMMYFUNCTION("""COMPUTED_VALUE"""),"VU2F2526131 ")</f>
        <v xml:space="preserve">VU2F2526131 </v>
      </c>
      <c r="D122" s="11" t="str">
        <f ca="1">IFERROR(__xludf.DUMMYFUNCTION("""COMPUTED_VALUE"""),"vu2f2526131@pvppcoe.ac.in")</f>
        <v>vu2f2526131@pvppcoe.ac.in</v>
      </c>
      <c r="E122" s="11" t="str">
        <f ca="1">IFERROR(__xludf.DUMMYFUNCTION("""COMPUTED_VALUE"""),"MACHA SOHAN BHASKAR ")</f>
        <v xml:space="preserve">MACHA SOHAN BHASKAR </v>
      </c>
      <c r="F122" s="11">
        <f ca="1">IFERROR(__xludf.DUMMYFUNCTION("""COMPUTED_VALUE"""),9967658133)</f>
        <v>9967658133</v>
      </c>
      <c r="G122" s="11" t="str">
        <f ca="1">IFERROR(__xludf.DUMMYFUNCTION("""COMPUTED_VALUE"""),"Second Year (Graduation Year of Passing:- 2029)")</f>
        <v>Second Year (Graduation Year of Passing:- 2029)</v>
      </c>
      <c r="H122" s="34" t="str">
        <f ca="1">IFERROR(__xludf.DUMMYFUNCTION("""COMPUTED_VALUE"""),"AI &amp; ML")</f>
        <v>AI &amp; ML</v>
      </c>
      <c r="I122" s="11" t="str">
        <f ca="1">IFERROR(__xludf.DUMMYFUNCTION("""COMPUTED_VALUE"""),"Complete C2C (Aptitude + Soft Skills + Technical) training - Rs 3500/-")</f>
        <v>Complete C2C (Aptitude + Soft Skills + Technical) training - Rs 3500/-</v>
      </c>
      <c r="J122" s="35" t="str">
        <f ca="1">IFERROR(__xludf.DUMMYFUNCTION("""COMPUTED_VALUE"""),"https://drive.google.com/open?id=1AiEI3bDfAbm9cOHHYlk1Xaw9KQuP726j")</f>
        <v>https://drive.google.com/open?id=1AiEI3bDfAbm9cOHHYlk1Xaw9KQuP726j</v>
      </c>
      <c r="K122" s="37">
        <v>3500</v>
      </c>
      <c r="L122" s="65" t="s">
        <v>429</v>
      </c>
      <c r="M122" s="65" t="s">
        <v>101</v>
      </c>
      <c r="N122" s="44" t="s">
        <v>104</v>
      </c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22.5" customHeight="1" x14ac:dyDescent="0.25">
      <c r="A123" s="29">
        <f ca="1">IFERROR(__xludf.DUMMYFUNCTION("""COMPUTED_VALUE"""),46250.6218619212)</f>
        <v>46250.621861921201</v>
      </c>
      <c r="B123" s="11" t="str">
        <f ca="1">IFERROR(__xludf.DUMMYFUNCTION("""COMPUTED_VALUE"""),"vu3f2526032@pvppcoe.ac.in")</f>
        <v>vu3f2526032@pvppcoe.ac.in</v>
      </c>
      <c r="C123" s="11" t="str">
        <f ca="1">IFERROR(__xludf.DUMMYFUNCTION("""COMPUTED_VALUE"""),"VU3F2526032")</f>
        <v>VU3F2526032</v>
      </c>
      <c r="D123" s="11" t="str">
        <f ca="1">IFERROR(__xludf.DUMMYFUNCTION("""COMPUTED_VALUE"""),"vu3f2526032@pvppcoe.ac.in")</f>
        <v>vu3f2526032@pvppcoe.ac.in</v>
      </c>
      <c r="E123" s="11" t="str">
        <f ca="1">IFERROR(__xludf.DUMMYFUNCTION("""COMPUTED_VALUE"""),"Adelkar Nishant Sunil")</f>
        <v>Adelkar Nishant Sunil</v>
      </c>
      <c r="F123" s="11">
        <f ca="1">IFERROR(__xludf.DUMMYFUNCTION("""COMPUTED_VALUE"""),8108921431)</f>
        <v>8108921431</v>
      </c>
      <c r="G123" s="11" t="str">
        <f ca="1">IFERROR(__xludf.DUMMYFUNCTION("""COMPUTED_VALUE"""),"Second Year (Graduation Year of Passing:- 2029)")</f>
        <v>Second Year (Graduation Year of Passing:- 2029)</v>
      </c>
      <c r="H123" s="34" t="str">
        <f ca="1">IFERROR(__xludf.DUMMYFUNCTION("""COMPUTED_VALUE"""),"ECS")</f>
        <v>ECS</v>
      </c>
      <c r="I123" s="11" t="str">
        <f ca="1">IFERROR(__xludf.DUMMYFUNCTION("""COMPUTED_VALUE"""),"Complete C2C (Aptitude + Soft Skills + Technical) training - Rs 3500/-")</f>
        <v>Complete C2C (Aptitude + Soft Skills + Technical) training - Rs 3500/-</v>
      </c>
      <c r="J123" s="35" t="str">
        <f ca="1">IFERROR(__xludf.DUMMYFUNCTION("""COMPUTED_VALUE"""),"https://drive.google.com/open?id=1uqM_cv5CfPLCaUWu4cfZUKiZkyNN9ppp")</f>
        <v>https://drive.google.com/open?id=1uqM_cv5CfPLCaUWu4cfZUKiZkyNN9ppp</v>
      </c>
      <c r="K123" s="44">
        <v>3500</v>
      </c>
      <c r="L123" s="64" t="s">
        <v>429</v>
      </c>
      <c r="M123" s="64" t="s">
        <v>101</v>
      </c>
      <c r="N123" s="44" t="s">
        <v>104</v>
      </c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22.5" customHeight="1" x14ac:dyDescent="0.25">
      <c r="A124" s="29">
        <f ca="1">IFERROR(__xludf.DUMMYFUNCTION("""COMPUTED_VALUE"""),46250.7828413078)</f>
        <v>46250.782841307802</v>
      </c>
      <c r="B124" s="11" t="str">
        <f ca="1">IFERROR(__xludf.DUMMYFUNCTION("""COMPUTED_VALUE"""),"vu1f2526122@pvppcoe.ac.in")</f>
        <v>vu1f2526122@pvppcoe.ac.in</v>
      </c>
      <c r="C124" s="11" t="str">
        <f ca="1">IFERROR(__xludf.DUMMYFUNCTION("""COMPUTED_VALUE"""),"VU1F2526122 ")</f>
        <v xml:space="preserve">VU1F2526122 </v>
      </c>
      <c r="D124" s="11" t="str">
        <f ca="1">IFERROR(__xludf.DUMMYFUNCTION("""COMPUTED_VALUE"""),"vu1f2526122@pvppcoe.ac.in")</f>
        <v>vu1f2526122@pvppcoe.ac.in</v>
      </c>
      <c r="E124" s="11" t="str">
        <f ca="1">IFERROR(__xludf.DUMMYFUNCTION("""COMPUTED_VALUE"""),"Mishra Kunal Sushil Kumar ")</f>
        <v xml:space="preserve">Mishra Kunal Sushil Kumar </v>
      </c>
      <c r="F124" s="11">
        <f ca="1">IFERROR(__xludf.DUMMYFUNCTION("""COMPUTED_VALUE"""),7977687802)</f>
        <v>7977687802</v>
      </c>
      <c r="G124" s="11" t="str">
        <f ca="1">IFERROR(__xludf.DUMMYFUNCTION("""COMPUTED_VALUE"""),"Second Year (Graduation Year of Passing:- 2029)")</f>
        <v>Second Year (Graduation Year of Passing:- 2029)</v>
      </c>
      <c r="H124" s="34" t="str">
        <f ca="1">IFERROR(__xludf.DUMMYFUNCTION("""COMPUTED_VALUE"""),"CS")</f>
        <v>CS</v>
      </c>
      <c r="I124" s="11" t="str">
        <f ca="1">IFERROR(__xludf.DUMMYFUNCTION("""COMPUTED_VALUE"""),"Complete C2C (Aptitude + Soft Skills + Technical) training - Rs 3500/-")</f>
        <v>Complete C2C (Aptitude + Soft Skills + Technical) training - Rs 3500/-</v>
      </c>
      <c r="J124" s="35" t="str">
        <f ca="1">IFERROR(__xludf.DUMMYFUNCTION("""COMPUTED_VALUE"""),"https://drive.google.com/open?id=1crcPemJlpj7unsI-PNrlwF-1Q0kABJjU")</f>
        <v>https://drive.google.com/open?id=1crcPemJlpj7unsI-PNrlwF-1Q0kABJjU</v>
      </c>
      <c r="K124" s="77">
        <v>3500</v>
      </c>
      <c r="L124" s="78" t="s">
        <v>429</v>
      </c>
      <c r="M124" s="76" t="s">
        <v>101</v>
      </c>
      <c r="N124" s="37" t="s">
        <v>104</v>
      </c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22.5" customHeight="1" x14ac:dyDescent="0.25">
      <c r="A125" s="29">
        <f ca="1">IFERROR(__xludf.DUMMYFUNCTION("""COMPUTED_VALUE"""),46250.8981375115)</f>
        <v>46250.898137511504</v>
      </c>
      <c r="B125" s="11" t="str">
        <f ca="1">IFERROR(__xludf.DUMMYFUNCTION("""COMPUTED_VALUE"""),"vu4f2526109@pvppcoe.ac.in")</f>
        <v>vu4f2526109@pvppcoe.ac.in</v>
      </c>
      <c r="C125" s="11" t="str">
        <f ca="1">IFERROR(__xludf.DUMMYFUNCTION("""COMPUTED_VALUE"""),"VU4F2526109 ")</f>
        <v xml:space="preserve">VU4F2526109 </v>
      </c>
      <c r="D125" s="11" t="str">
        <f ca="1">IFERROR(__xludf.DUMMYFUNCTION("""COMPUTED_VALUE"""),"vu4f2526109@pvppcoe.ac.in")</f>
        <v>vu4f2526109@pvppcoe.ac.in</v>
      </c>
      <c r="E125" s="11" t="str">
        <f ca="1">IFERROR(__xludf.DUMMYFUNCTION("""COMPUTED_VALUE"""),"Mane Omkar Dhananjay ")</f>
        <v xml:space="preserve">Mane Omkar Dhananjay </v>
      </c>
      <c r="F125" s="11">
        <f ca="1">IFERROR(__xludf.DUMMYFUNCTION("""COMPUTED_VALUE"""),8591733255)</f>
        <v>8591733255</v>
      </c>
      <c r="G125" s="11" t="str">
        <f ca="1">IFERROR(__xludf.DUMMYFUNCTION("""COMPUTED_VALUE"""),"Second Year (Graduation Year of Passing:- 2029)")</f>
        <v>Second Year (Graduation Year of Passing:- 2029)</v>
      </c>
      <c r="H125" s="34" t="str">
        <f ca="1">IFERROR(__xludf.DUMMYFUNCTION("""COMPUTED_VALUE"""),"IT")</f>
        <v>IT</v>
      </c>
      <c r="I125" s="11" t="str">
        <f ca="1">IFERROR(__xludf.DUMMYFUNCTION("""COMPUTED_VALUE"""),"Complete C2C (Aptitude + Soft Skills + Technical) training - Rs 3500/-")</f>
        <v>Complete C2C (Aptitude + Soft Skills + Technical) training - Rs 3500/-</v>
      </c>
      <c r="J125" s="35" t="str">
        <f ca="1">IFERROR(__xludf.DUMMYFUNCTION("""COMPUTED_VALUE"""),"https://drive.google.com/open?id=1eyJ_fz1UCY4_GtMIkC99e0TNyqR87Cvc")</f>
        <v>https://drive.google.com/open?id=1eyJ_fz1UCY4_GtMIkC99e0TNyqR87Cvc</v>
      </c>
      <c r="K125" s="44">
        <v>3500</v>
      </c>
      <c r="L125" s="64" t="s">
        <v>429</v>
      </c>
      <c r="M125" s="64" t="s">
        <v>101</v>
      </c>
      <c r="N125" s="44" t="s">
        <v>104</v>
      </c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22.5" customHeight="1" x14ac:dyDescent="0.25">
      <c r="A126" s="29">
        <f ca="1">IFERROR(__xludf.DUMMYFUNCTION("""COMPUTED_VALUE"""),46250.9466300231)</f>
        <v>46250.9466300231</v>
      </c>
      <c r="B126" s="11" t="str">
        <f ca="1">IFERROR(__xludf.DUMMYFUNCTION("""COMPUTED_VALUE"""),"vu2f2526033@pvppcoe.ac.in")</f>
        <v>vu2f2526033@pvppcoe.ac.in</v>
      </c>
      <c r="C126" s="11" t="str">
        <f ca="1">IFERROR(__xludf.DUMMYFUNCTION("""COMPUTED_VALUE"""),"VU2F2526033")</f>
        <v>VU2F2526033</v>
      </c>
      <c r="D126" s="11" t="str">
        <f ca="1">IFERROR(__xludf.DUMMYFUNCTION("""COMPUTED_VALUE"""),"vu2f2526033@pvppcoe.ac.in")</f>
        <v>vu2f2526033@pvppcoe.ac.in</v>
      </c>
      <c r="E126" s="11" t="str">
        <f ca="1">IFERROR(__xludf.DUMMYFUNCTION("""COMPUTED_VALUE"""),"Baviskar Aarush Mukund")</f>
        <v>Baviskar Aarush Mukund</v>
      </c>
      <c r="F126" s="11">
        <f ca="1">IFERROR(__xludf.DUMMYFUNCTION("""COMPUTED_VALUE"""),8329895687)</f>
        <v>8329895687</v>
      </c>
      <c r="G126" s="11" t="str">
        <f ca="1">IFERROR(__xludf.DUMMYFUNCTION("""COMPUTED_VALUE"""),"Second Year (Graduation Year of Passing:- 2029)")</f>
        <v>Second Year (Graduation Year of Passing:- 2029)</v>
      </c>
      <c r="H126" s="34" t="str">
        <f ca="1">IFERROR(__xludf.DUMMYFUNCTION("""COMPUTED_VALUE"""),"AI &amp; ML")</f>
        <v>AI &amp; ML</v>
      </c>
      <c r="I126" s="11" t="str">
        <f ca="1">IFERROR(__xludf.DUMMYFUNCTION("""COMPUTED_VALUE"""),"Complete C2C (Aptitude + Soft Skills + Technical) training - Rs 3500/-")</f>
        <v>Complete C2C (Aptitude + Soft Skills + Technical) training - Rs 3500/-</v>
      </c>
      <c r="J126" s="35" t="str">
        <f ca="1">IFERROR(__xludf.DUMMYFUNCTION("""COMPUTED_VALUE"""),"https://drive.google.com/open?id=15oQGH4xFis3w02psnF7vTGwx0f41QOpN")</f>
        <v>https://drive.google.com/open?id=15oQGH4xFis3w02psnF7vTGwx0f41QOpN</v>
      </c>
      <c r="K126" s="37">
        <v>3500</v>
      </c>
      <c r="L126" s="65" t="s">
        <v>429</v>
      </c>
      <c r="M126" s="64" t="s">
        <v>101</v>
      </c>
      <c r="N126" s="37" t="s">
        <v>104</v>
      </c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22.5" customHeight="1" x14ac:dyDescent="0.25">
      <c r="A127" s="29">
        <f ca="1">IFERROR(__xludf.DUMMYFUNCTION("""COMPUTED_VALUE"""),46251.5108894097)</f>
        <v>46251.510889409699</v>
      </c>
      <c r="B127" s="11" t="str">
        <f ca="1">IFERROR(__xludf.DUMMYFUNCTION("""COMPUTED_VALUE"""),"vu3f2526083@pvppcoe.ac.in")</f>
        <v>vu3f2526083@pvppcoe.ac.in</v>
      </c>
      <c r="C127" s="11" t="str">
        <f ca="1">IFERROR(__xludf.DUMMYFUNCTION("""COMPUTED_VALUE"""),"VU3F2526083 ")</f>
        <v xml:space="preserve">VU3F2526083 </v>
      </c>
      <c r="D127" s="11" t="str">
        <f ca="1">IFERROR(__xludf.DUMMYFUNCTION("""COMPUTED_VALUE"""),"vu3f2526083@pvppcoe.ac.in")</f>
        <v>vu3f2526083@pvppcoe.ac.in</v>
      </c>
      <c r="E127" s="11" t="str">
        <f ca="1">IFERROR(__xludf.DUMMYFUNCTION("""COMPUTED_VALUE"""),"SAWANT NINAD SANDEEP")</f>
        <v>SAWANT NINAD SANDEEP</v>
      </c>
      <c r="F127" s="11">
        <f ca="1">IFERROR(__xludf.DUMMYFUNCTION("""COMPUTED_VALUE"""),8169709655)</f>
        <v>8169709655</v>
      </c>
      <c r="G127" s="11" t="str">
        <f ca="1">IFERROR(__xludf.DUMMYFUNCTION("""COMPUTED_VALUE"""),"Second Year (Graduation Year of Passing:- 2029)")</f>
        <v>Second Year (Graduation Year of Passing:- 2029)</v>
      </c>
      <c r="H127" s="34" t="str">
        <f ca="1">IFERROR(__xludf.DUMMYFUNCTION("""COMPUTED_VALUE"""),"ECS")</f>
        <v>ECS</v>
      </c>
      <c r="I127" s="11" t="str">
        <f ca="1">IFERROR(__xludf.DUMMYFUNCTION("""COMPUTED_VALUE"""),"Complete C2C (Aptitude + Soft Skills + Technical) training - Rs 3500/-")</f>
        <v>Complete C2C (Aptitude + Soft Skills + Technical) training - Rs 3500/-</v>
      </c>
      <c r="J127" s="35" t="str">
        <f ca="1">IFERROR(__xludf.DUMMYFUNCTION("""COMPUTED_VALUE"""),"https://drive.google.com/open?id=1jNXuyPUsntobU45_LsDzgTlPlCgDIlfX")</f>
        <v>https://drive.google.com/open?id=1jNXuyPUsntobU45_LsDzgTlPlCgDIlfX</v>
      </c>
      <c r="K127" s="44">
        <v>3500</v>
      </c>
      <c r="L127" s="64" t="s">
        <v>429</v>
      </c>
      <c r="M127" s="64" t="s">
        <v>101</v>
      </c>
      <c r="N127" s="44" t="s">
        <v>104</v>
      </c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22.5" customHeight="1" x14ac:dyDescent="0.25">
      <c r="A128" s="29">
        <f ca="1">IFERROR(__xludf.DUMMYFUNCTION("""COMPUTED_VALUE"""),46251.6802384027)</f>
        <v>46251.680238402703</v>
      </c>
      <c r="B128" s="11" t="str">
        <f ca="1">IFERROR(__xludf.DUMMYFUNCTION("""COMPUTED_VALUE"""),"vu2f2526143@pvppcoe.ac.in")</f>
        <v>vu2f2526143@pvppcoe.ac.in</v>
      </c>
      <c r="C128" s="11" t="str">
        <f ca="1">IFERROR(__xludf.DUMMYFUNCTION("""COMPUTED_VALUE"""),"VU2F2526143")</f>
        <v>VU2F2526143</v>
      </c>
      <c r="D128" s="11" t="str">
        <f ca="1">IFERROR(__xludf.DUMMYFUNCTION("""COMPUTED_VALUE"""),"vu2f2526143@pvppcoe.ac.in")</f>
        <v>vu2f2526143@pvppcoe.ac.in</v>
      </c>
      <c r="E128" s="11" t="str">
        <f ca="1">IFERROR(__xludf.DUMMYFUNCTION("""COMPUTED_VALUE"""),"Tambe Darshan Gajendra ")</f>
        <v xml:space="preserve">Tambe Darshan Gajendra </v>
      </c>
      <c r="F128" s="11">
        <f ca="1">IFERROR(__xludf.DUMMYFUNCTION("""COMPUTED_VALUE"""),9920768085)</f>
        <v>9920768085</v>
      </c>
      <c r="G128" s="11" t="str">
        <f ca="1">IFERROR(__xludf.DUMMYFUNCTION("""COMPUTED_VALUE"""),"Second Year (Graduation Year of Passing:- 2029)")</f>
        <v>Second Year (Graduation Year of Passing:- 2029)</v>
      </c>
      <c r="H128" s="34" t="str">
        <f ca="1">IFERROR(__xludf.DUMMYFUNCTION("""COMPUTED_VALUE"""),"AI &amp; ML")</f>
        <v>AI &amp; ML</v>
      </c>
      <c r="I128" s="11" t="str">
        <f ca="1">IFERROR(__xludf.DUMMYFUNCTION("""COMPUTED_VALUE"""),"Complete C2C (Aptitude + Soft Skills + Technical) training - Rs 3500/-")</f>
        <v>Complete C2C (Aptitude + Soft Skills + Technical) training - Rs 3500/-</v>
      </c>
      <c r="J128" s="35" t="str">
        <f ca="1">IFERROR(__xludf.DUMMYFUNCTION("""COMPUTED_VALUE"""),"https://drive.google.com/open?id=18XIwqvFSZkgyGRzAELTgCiX4J5mcwmad")</f>
        <v>https://drive.google.com/open?id=18XIwqvFSZkgyGRzAELTgCiX4J5mcwmad</v>
      </c>
      <c r="K128" s="37">
        <v>3500</v>
      </c>
      <c r="L128" s="65" t="s">
        <v>429</v>
      </c>
      <c r="M128" s="65" t="s">
        <v>101</v>
      </c>
      <c r="N128" s="37" t="s">
        <v>104</v>
      </c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22.5" customHeight="1" x14ac:dyDescent="0.25">
      <c r="A129" s="29">
        <f ca="1">IFERROR(__xludf.DUMMYFUNCTION("""COMPUTED_VALUE"""),46251.877061875)</f>
        <v>46251.877061874999</v>
      </c>
      <c r="B129" s="11" t="str">
        <f ca="1">IFERROR(__xludf.DUMMYFUNCTION("""COMPUTED_VALUE"""),"vu3f2526084@pvppcoe.ac.in")</f>
        <v>vu3f2526084@pvppcoe.ac.in</v>
      </c>
      <c r="C129" s="11" t="str">
        <f ca="1">IFERROR(__xludf.DUMMYFUNCTION("""COMPUTED_VALUE"""),"VU3F2526084 ")</f>
        <v xml:space="preserve">VU3F2526084 </v>
      </c>
      <c r="D129" s="11" t="str">
        <f ca="1">IFERROR(__xludf.DUMMYFUNCTION("""COMPUTED_VALUE"""),"vu3f2526084@pvppcoe.ac.in")</f>
        <v>vu3f2526084@pvppcoe.ac.in</v>
      </c>
      <c r="E129" s="11" t="str">
        <f ca="1">IFERROR(__xludf.DUMMYFUNCTION("""COMPUTED_VALUE"""),"Sunny kumar mehta ")</f>
        <v xml:space="preserve">Sunny kumar mehta </v>
      </c>
      <c r="F129" s="11">
        <f ca="1">IFERROR(__xludf.DUMMYFUNCTION("""COMPUTED_VALUE"""),9769361792)</f>
        <v>9769361792</v>
      </c>
      <c r="G129" s="11" t="str">
        <f ca="1">IFERROR(__xludf.DUMMYFUNCTION("""COMPUTED_VALUE"""),"Second Year (Graduation Year of Passing:- 2029)")</f>
        <v>Second Year (Graduation Year of Passing:- 2029)</v>
      </c>
      <c r="H129" s="34" t="str">
        <f ca="1">IFERROR(__xludf.DUMMYFUNCTION("""COMPUTED_VALUE"""),"ECS")</f>
        <v>ECS</v>
      </c>
      <c r="I129" s="11" t="str">
        <f ca="1">IFERROR(__xludf.DUMMYFUNCTION("""COMPUTED_VALUE"""),"Complete C2C (Aptitude + Soft Skills + Technical) training - Rs 3500/-")</f>
        <v>Complete C2C (Aptitude + Soft Skills + Technical) training - Rs 3500/-</v>
      </c>
      <c r="J129" s="35" t="str">
        <f ca="1">IFERROR(__xludf.DUMMYFUNCTION("""COMPUTED_VALUE"""),"https://drive.google.com/open?id=1DQpoV1UTQ7MtRlFg6gZ9z6Hkk170pBL5")</f>
        <v>https://drive.google.com/open?id=1DQpoV1UTQ7MtRlFg6gZ9z6Hkk170pBL5</v>
      </c>
      <c r="K129" s="44">
        <v>3500</v>
      </c>
      <c r="L129" s="64" t="s">
        <v>429</v>
      </c>
      <c r="M129" s="64" t="s">
        <v>101</v>
      </c>
      <c r="N129" s="44" t="s">
        <v>104</v>
      </c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22.5" customHeight="1" x14ac:dyDescent="0.25">
      <c r="A130" s="29">
        <f ca="1">IFERROR(__xludf.DUMMYFUNCTION("""COMPUTED_VALUE"""),46252.8309874768)</f>
        <v>46252.830987476802</v>
      </c>
      <c r="B130" s="11" t="str">
        <f ca="1">IFERROR(__xludf.DUMMYFUNCTION("""COMPUTED_VALUE"""),"vu2f2526127@pvppcoe.ac.in")</f>
        <v>vu2f2526127@pvppcoe.ac.in</v>
      </c>
      <c r="C130" s="11" t="str">
        <f ca="1">IFERROR(__xludf.DUMMYFUNCTION("""COMPUTED_VALUE"""),"VU2F2526127")</f>
        <v>VU2F2526127</v>
      </c>
      <c r="D130" s="11" t="str">
        <f ca="1">IFERROR(__xludf.DUMMYFUNCTION("""COMPUTED_VALUE"""),"vu2f2526127@pvppcoe.ac.in")</f>
        <v>vu2f2526127@pvppcoe.ac.in</v>
      </c>
      <c r="E130" s="11" t="str">
        <f ca="1">IFERROR(__xludf.DUMMYFUNCTION("""COMPUTED_VALUE"""),"Raut Kunal Sanjay ")</f>
        <v xml:space="preserve">Raut Kunal Sanjay </v>
      </c>
      <c r="F130" s="11">
        <f ca="1">IFERROR(__xludf.DUMMYFUNCTION("""COMPUTED_VALUE"""),8689817414)</f>
        <v>8689817414</v>
      </c>
      <c r="G130" s="11" t="str">
        <f ca="1">IFERROR(__xludf.DUMMYFUNCTION("""COMPUTED_VALUE"""),"Second Year (Graduation Year of Passing:- 2029)")</f>
        <v>Second Year (Graduation Year of Passing:- 2029)</v>
      </c>
      <c r="H130" s="34" t="str">
        <f ca="1">IFERROR(__xludf.DUMMYFUNCTION("""COMPUTED_VALUE"""),"AI &amp; ML")</f>
        <v>AI &amp; ML</v>
      </c>
      <c r="I130" s="11" t="str">
        <f ca="1">IFERROR(__xludf.DUMMYFUNCTION("""COMPUTED_VALUE"""),"Complete C2C (Aptitude + Soft Skills + Technical) training - Rs 3500/-")</f>
        <v>Complete C2C (Aptitude + Soft Skills + Technical) training - Rs 3500/-</v>
      </c>
      <c r="J130" s="35" t="str">
        <f ca="1">IFERROR(__xludf.DUMMYFUNCTION("""COMPUTED_VALUE"""),"https://drive.google.com/open?id=1I9TNKavbsNiN3fP6gcLm8RzoPFGc0VDb")</f>
        <v>https://drive.google.com/open?id=1I9TNKavbsNiN3fP6gcLm8RzoPFGc0VDb</v>
      </c>
      <c r="K130" s="44">
        <v>3500</v>
      </c>
      <c r="L130" s="64" t="s">
        <v>429</v>
      </c>
      <c r="M130" s="64" t="s">
        <v>101</v>
      </c>
      <c r="N130" s="44" t="s">
        <v>104</v>
      </c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22.5" customHeight="1" x14ac:dyDescent="0.25">
      <c r="A131" s="29">
        <f ca="1">IFERROR(__xludf.DUMMYFUNCTION("""COMPUTED_VALUE"""),46252.8335078124)</f>
        <v>46252.8335078124</v>
      </c>
      <c r="B131" s="11" t="str">
        <f ca="1">IFERROR(__xludf.DUMMYFUNCTION("""COMPUTED_VALUE"""),"vu2f2526093@pvppcoe.ac.in")</f>
        <v>vu2f2526093@pvppcoe.ac.in</v>
      </c>
      <c r="C131" s="11" t="str">
        <f ca="1">IFERROR(__xludf.DUMMYFUNCTION("""COMPUTED_VALUE"""),"VU2F2526093 ")</f>
        <v xml:space="preserve">VU2F2526093 </v>
      </c>
      <c r="D131" s="11" t="str">
        <f ca="1">IFERROR(__xludf.DUMMYFUNCTION("""COMPUTED_VALUE"""),"vu2f2526093@pvppcoe.ac.in")</f>
        <v>vu2f2526093@pvppcoe.ac.in</v>
      </c>
      <c r="E131" s="11" t="str">
        <f ca="1">IFERROR(__xludf.DUMMYFUNCTION("""COMPUTED_VALUE"""),"SAMRUDDHI VINOD MAHADIK ")</f>
        <v xml:space="preserve">SAMRUDDHI VINOD MAHADIK </v>
      </c>
      <c r="F131" s="11">
        <f ca="1">IFERROR(__xludf.DUMMYFUNCTION("""COMPUTED_VALUE"""),9987363612)</f>
        <v>9987363612</v>
      </c>
      <c r="G131" s="11" t="str">
        <f ca="1">IFERROR(__xludf.DUMMYFUNCTION("""COMPUTED_VALUE"""),"Second Year (Graduation Year of Passing:- 2029)")</f>
        <v>Second Year (Graduation Year of Passing:- 2029)</v>
      </c>
      <c r="H131" s="34" t="str">
        <f ca="1">IFERROR(__xludf.DUMMYFUNCTION("""COMPUTED_VALUE"""),"AI &amp; ML")</f>
        <v>AI &amp; ML</v>
      </c>
      <c r="I131" s="11" t="str">
        <f ca="1">IFERROR(__xludf.DUMMYFUNCTION("""COMPUTED_VALUE"""),"Complete C2C (Aptitude + Soft Skills + Technical) training - Rs 3500/-")</f>
        <v>Complete C2C (Aptitude + Soft Skills + Technical) training - Rs 3500/-</v>
      </c>
      <c r="J131" s="67" t="str">
        <f ca="1">IFERROR(__xludf.DUMMYFUNCTION("""COMPUTED_VALUE"""),"https://drive.google.com/open?id=1JqlsvXQ9Kj3QXVWKiLswIzAFFvVxDkoe")</f>
        <v>https://drive.google.com/open?id=1JqlsvXQ9Kj3QXVWKiLswIzAFFvVxDkoe</v>
      </c>
      <c r="K131" s="44">
        <v>3500</v>
      </c>
      <c r="L131" s="64" t="s">
        <v>429</v>
      </c>
      <c r="M131" s="64" t="s">
        <v>101</v>
      </c>
      <c r="N131" s="44" t="s">
        <v>104</v>
      </c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22.5" customHeight="1" x14ac:dyDescent="0.25">
      <c r="A132" s="29">
        <f ca="1">IFERROR(__xludf.DUMMYFUNCTION("""COMPUTED_VALUE"""),46252.8489859953)</f>
        <v>46252.848985995297</v>
      </c>
      <c r="B132" s="11" t="str">
        <f ca="1">IFERROR(__xludf.DUMMYFUNCTION("""COMPUTED_VALUE"""),"vu1f2526020@pvppcoe.ac.in")</f>
        <v>vu1f2526020@pvppcoe.ac.in</v>
      </c>
      <c r="C132" s="11" t="str">
        <f ca="1">IFERROR(__xludf.DUMMYFUNCTION("""COMPUTED_VALUE"""),"VU1F2526020")</f>
        <v>VU1F2526020</v>
      </c>
      <c r="D132" s="11" t="str">
        <f ca="1">IFERROR(__xludf.DUMMYFUNCTION("""COMPUTED_VALUE"""),"vu1f2526020@pvppcoe.ac.in")</f>
        <v>vu1f2526020@pvppcoe.ac.in</v>
      </c>
      <c r="E132" s="11" t="str">
        <f ca="1">IFERROR(__xludf.DUMMYFUNCTION("""COMPUTED_VALUE"""),"Dhanak Vikas Bhambu")</f>
        <v>Dhanak Vikas Bhambu</v>
      </c>
      <c r="F132" s="11">
        <f ca="1">IFERROR(__xludf.DUMMYFUNCTION("""COMPUTED_VALUE"""),8591929196)</f>
        <v>8591929196</v>
      </c>
      <c r="G132" s="11" t="str">
        <f ca="1">IFERROR(__xludf.DUMMYFUNCTION("""COMPUTED_VALUE"""),"Second Year (Graduation Year of Passing:- 2029)")</f>
        <v>Second Year (Graduation Year of Passing:- 2029)</v>
      </c>
      <c r="H132" s="34" t="str">
        <f ca="1">IFERROR(__xludf.DUMMYFUNCTION("""COMPUTED_VALUE"""),"CS")</f>
        <v>CS</v>
      </c>
      <c r="I132" s="11" t="str">
        <f ca="1">IFERROR(__xludf.DUMMYFUNCTION("""COMPUTED_VALUE"""),"Complete C2C (Aptitude + Soft Skills + Technical) training - Rs 3500/-")</f>
        <v>Complete C2C (Aptitude + Soft Skills + Technical) training - Rs 3500/-</v>
      </c>
      <c r="J132" s="67" t="str">
        <f ca="1">IFERROR(__xludf.DUMMYFUNCTION("""COMPUTED_VALUE"""),"https://drive.google.com/open?id=1NBu-1Hrrlibzd45OG1ldrGWUDQVFGW-u")</f>
        <v>https://drive.google.com/open?id=1NBu-1Hrrlibzd45OG1ldrGWUDQVFGW-u</v>
      </c>
      <c r="K132" s="44">
        <v>3500</v>
      </c>
      <c r="L132" s="64" t="s">
        <v>429</v>
      </c>
      <c r="M132" s="76" t="s">
        <v>101</v>
      </c>
      <c r="N132" s="44" t="s">
        <v>104</v>
      </c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22.5" customHeight="1" x14ac:dyDescent="0.25">
      <c r="A133" s="29">
        <f ca="1">IFERROR(__xludf.DUMMYFUNCTION("""COMPUTED_VALUE"""),46252.9082165856)</f>
        <v>46252.908216585602</v>
      </c>
      <c r="B133" s="11" t="str">
        <f ca="1">IFERROR(__xludf.DUMMYFUNCTION("""COMPUTED_VALUE"""),"vu3f2526122@pvppcoe.ac.in")</f>
        <v>vu3f2526122@pvppcoe.ac.in</v>
      </c>
      <c r="C133" s="11" t="str">
        <f ca="1">IFERROR(__xludf.DUMMYFUNCTION("""COMPUTED_VALUE"""),"VU3F2526122")</f>
        <v>VU3F2526122</v>
      </c>
      <c r="D133" s="11" t="str">
        <f ca="1">IFERROR(__xludf.DUMMYFUNCTION("""COMPUTED_VALUE"""),"vu3f2526122@pvppcoe.ac.in")</f>
        <v>vu3f2526122@pvppcoe.ac.in</v>
      </c>
      <c r="E133" s="11" t="str">
        <f ca="1">IFERROR(__xludf.DUMMYFUNCTION("""COMPUTED_VALUE"""),"Gaikwad Shreya Santosh")</f>
        <v>Gaikwad Shreya Santosh</v>
      </c>
      <c r="F133" s="11">
        <f ca="1">IFERROR(__xludf.DUMMYFUNCTION("""COMPUTED_VALUE"""),7208691340)</f>
        <v>7208691340</v>
      </c>
      <c r="G133" s="11" t="str">
        <f ca="1">IFERROR(__xludf.DUMMYFUNCTION("""COMPUTED_VALUE"""),"Second Year (Graduation Year of Passing:- 2029)")</f>
        <v>Second Year (Graduation Year of Passing:- 2029)</v>
      </c>
      <c r="H133" s="79" t="str">
        <f ca="1">IFERROR(__xludf.DUMMYFUNCTION("""COMPUTED_VALUE"""),"ECS")</f>
        <v>ECS</v>
      </c>
      <c r="I133" s="11" t="str">
        <f ca="1">IFERROR(__xludf.DUMMYFUNCTION("""COMPUTED_VALUE"""),"Complete C2C (Aptitude + Soft Skills + Technical) training - Rs 3500/-")</f>
        <v>Complete C2C (Aptitude + Soft Skills + Technical) training - Rs 3500/-</v>
      </c>
      <c r="J133" s="35" t="str">
        <f ca="1">IFERROR(__xludf.DUMMYFUNCTION("""COMPUTED_VALUE"""),"https://drive.google.com/open?id=1z64fF6IZA2qqjEc4mVv2Rg6J8RuZ76B9")</f>
        <v>https://drive.google.com/open?id=1z64fF6IZA2qqjEc4mVv2Rg6J8RuZ76B9</v>
      </c>
      <c r="K133" s="44">
        <v>3500</v>
      </c>
      <c r="L133" s="64" t="s">
        <v>429</v>
      </c>
      <c r="M133" s="76" t="s">
        <v>101</v>
      </c>
      <c r="N133" s="44" t="s">
        <v>104</v>
      </c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22.5" customHeight="1" x14ac:dyDescent="0.25">
      <c r="A134" s="29">
        <f ca="1">IFERROR(__xludf.DUMMYFUNCTION("""COMPUTED_VALUE"""),46252.9239178125)</f>
        <v>46252.923917812499</v>
      </c>
      <c r="B134" s="11" t="str">
        <f ca="1">IFERROR(__xludf.DUMMYFUNCTION("""COMPUTED_VALUE"""),"vu1f2526015@pvppcoe.ac.in")</f>
        <v>vu1f2526015@pvppcoe.ac.in</v>
      </c>
      <c r="C134" s="11" t="str">
        <f ca="1">IFERROR(__xludf.DUMMYFUNCTION("""COMPUTED_VALUE"""),"VU1F2526015 ")</f>
        <v xml:space="preserve">VU1F2526015 </v>
      </c>
      <c r="D134" s="11" t="str">
        <f ca="1">IFERROR(__xludf.DUMMYFUNCTION("""COMPUTED_VALUE"""),"vu1f2526015@pvppcoe.ac.in")</f>
        <v>vu1f2526015@pvppcoe.ac.in</v>
      </c>
      <c r="E134" s="11" t="str">
        <f ca="1">IFERROR(__xludf.DUMMYFUNCTION("""COMPUTED_VALUE"""),"Sawant Asmi Sudhanshu ")</f>
        <v xml:space="preserve">Sawant Asmi Sudhanshu </v>
      </c>
      <c r="F134" s="11">
        <f ca="1">IFERROR(__xludf.DUMMYFUNCTION("""COMPUTED_VALUE"""),8850658323)</f>
        <v>8850658323</v>
      </c>
      <c r="G134" s="11" t="str">
        <f ca="1">IFERROR(__xludf.DUMMYFUNCTION("""COMPUTED_VALUE"""),"Second Year (Graduation Year of Passing:- 2029)")</f>
        <v>Second Year (Graduation Year of Passing:- 2029)</v>
      </c>
      <c r="H134" s="79" t="str">
        <f ca="1">IFERROR(__xludf.DUMMYFUNCTION("""COMPUTED_VALUE"""),"CS")</f>
        <v>CS</v>
      </c>
      <c r="I134" s="11" t="str">
        <f ca="1">IFERROR(__xludf.DUMMYFUNCTION("""COMPUTED_VALUE"""),"Complete C2C (Aptitude + Soft Skills + Technical) training - Rs 3500/-")</f>
        <v>Complete C2C (Aptitude + Soft Skills + Technical) training - Rs 3500/-</v>
      </c>
      <c r="J134" s="35" t="str">
        <f ca="1">IFERROR(__xludf.DUMMYFUNCTION("""COMPUTED_VALUE"""),"https://drive.google.com/open?id=179gD1QNE1nkzd7Ip0Jeyi6sIOU3NRTTd")</f>
        <v>https://drive.google.com/open?id=179gD1QNE1nkzd7Ip0Jeyi6sIOU3NRTTd</v>
      </c>
      <c r="K134" s="44">
        <v>3500</v>
      </c>
      <c r="L134" s="64" t="s">
        <v>429</v>
      </c>
      <c r="M134" s="76" t="s">
        <v>101</v>
      </c>
      <c r="N134" s="44" t="s">
        <v>104</v>
      </c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22.5" customHeight="1" x14ac:dyDescent="0.25">
      <c r="A135" s="29">
        <f ca="1">IFERROR(__xludf.DUMMYFUNCTION("""COMPUTED_VALUE"""),46253.6473602893)</f>
        <v>46253.647360289302</v>
      </c>
      <c r="B135" s="11" t="str">
        <f ca="1">IFERROR(__xludf.DUMMYFUNCTION("""COMPUTED_VALUE"""),"vu3f2526009@pvppcoe.ac.in")</f>
        <v>vu3f2526009@pvppcoe.ac.in</v>
      </c>
      <c r="C135" s="11" t="str">
        <f ca="1">IFERROR(__xludf.DUMMYFUNCTION("""COMPUTED_VALUE"""),"VU3F2526009")</f>
        <v>VU3F2526009</v>
      </c>
      <c r="D135" s="11" t="str">
        <f ca="1">IFERROR(__xludf.DUMMYFUNCTION("""COMPUTED_VALUE"""),"vu3f2526009@pvppcoe.ac.in")</f>
        <v>vu3f2526009@pvppcoe.ac.in</v>
      </c>
      <c r="E135" s="11" t="str">
        <f ca="1">IFERROR(__xludf.DUMMYFUNCTION("""COMPUTED_VALUE"""),"Lahukare kartik atmaram ")</f>
        <v xml:space="preserve">Lahukare kartik atmaram </v>
      </c>
      <c r="F135" s="11">
        <f ca="1">IFERROR(__xludf.DUMMYFUNCTION("""COMPUTED_VALUE"""),9221679407)</f>
        <v>9221679407</v>
      </c>
      <c r="G135" s="11" t="str">
        <f ca="1">IFERROR(__xludf.DUMMYFUNCTION("""COMPUTED_VALUE"""),"Second Year (Graduation Year of Passing:- 2029)")</f>
        <v>Second Year (Graduation Year of Passing:- 2029)</v>
      </c>
      <c r="H135" s="79" t="str">
        <f ca="1">IFERROR(__xludf.DUMMYFUNCTION("""COMPUTED_VALUE"""),"ECS")</f>
        <v>ECS</v>
      </c>
      <c r="I135" s="11" t="str">
        <f ca="1">IFERROR(__xludf.DUMMYFUNCTION("""COMPUTED_VALUE"""),"Complete C2C (Aptitude + Soft Skills + Technical) training - Rs 3500/-")</f>
        <v>Complete C2C (Aptitude + Soft Skills + Technical) training - Rs 3500/-</v>
      </c>
      <c r="J135" s="35" t="str">
        <f ca="1">IFERROR(__xludf.DUMMYFUNCTION("""COMPUTED_VALUE"""),"https://drive.google.com/open?id=1k-c74aYYHBteSsVPE9QCTyG_4g8PIvi8")</f>
        <v>https://drive.google.com/open?id=1k-c74aYYHBteSsVPE9QCTyG_4g8PIvi8</v>
      </c>
      <c r="K135" s="80">
        <v>3500</v>
      </c>
      <c r="L135" s="64" t="s">
        <v>429</v>
      </c>
      <c r="M135" s="76" t="s">
        <v>101</v>
      </c>
      <c r="N135" s="44" t="s">
        <v>104</v>
      </c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22.5" customHeight="1" x14ac:dyDescent="0.25">
      <c r="A136" s="29">
        <f ca="1">IFERROR(__xludf.DUMMYFUNCTION("""COMPUTED_VALUE"""),46253.7292305902)</f>
        <v>46253.729230590201</v>
      </c>
      <c r="B136" s="11" t="str">
        <f ca="1">IFERROR(__xludf.DUMMYFUNCTION("""COMPUTED_VALUE"""),"vu4f2526072@pvppcoe.ac.in")</f>
        <v>vu4f2526072@pvppcoe.ac.in</v>
      </c>
      <c r="C136" s="11" t="str">
        <f ca="1">IFERROR(__xludf.DUMMYFUNCTION("""COMPUTED_VALUE"""),"VU4F2526072")</f>
        <v>VU4F2526072</v>
      </c>
      <c r="D136" s="11" t="str">
        <f ca="1">IFERROR(__xludf.DUMMYFUNCTION("""COMPUTED_VALUE"""),"atpadkarmaruti@gmail.com")</f>
        <v>atpadkarmaruti@gmail.com</v>
      </c>
      <c r="E136" s="11" t="str">
        <f ca="1">IFERROR(__xludf.DUMMYFUNCTION("""COMPUTED_VALUE"""),"ATPADKAR PRATIK MARUTI ")</f>
        <v xml:space="preserve">ATPADKAR PRATIK MARUTI </v>
      </c>
      <c r="F136" s="11">
        <f ca="1">IFERROR(__xludf.DUMMYFUNCTION("""COMPUTED_VALUE"""),7218680925)</f>
        <v>7218680925</v>
      </c>
      <c r="G136" s="11" t="str">
        <f ca="1">IFERROR(__xludf.DUMMYFUNCTION("""COMPUTED_VALUE"""),"Second Year (Graduation Year of Passing:- 2029)")</f>
        <v>Second Year (Graduation Year of Passing:- 2029)</v>
      </c>
      <c r="H136" s="79" t="str">
        <f ca="1">IFERROR(__xludf.DUMMYFUNCTION("""COMPUTED_VALUE"""),"IT")</f>
        <v>IT</v>
      </c>
      <c r="I136" s="11" t="str">
        <f ca="1">IFERROR(__xludf.DUMMYFUNCTION("""COMPUTED_VALUE"""),"Complete C2C (Aptitude + Soft Skills + Technical) training - Rs 3500/-")</f>
        <v>Complete C2C (Aptitude + Soft Skills + Technical) training - Rs 3500/-</v>
      </c>
      <c r="J136" s="35" t="str">
        <f ca="1">IFERROR(__xludf.DUMMYFUNCTION("""COMPUTED_VALUE"""),"https://drive.google.com/open?id=1sbhfspJ1oxjYNxC8JYeNulpzqZtCc96h")</f>
        <v>https://drive.google.com/open?id=1sbhfspJ1oxjYNxC8JYeNulpzqZtCc96h</v>
      </c>
      <c r="K136" s="81">
        <v>3500</v>
      </c>
      <c r="L136" s="64" t="s">
        <v>429</v>
      </c>
      <c r="M136" s="76" t="s">
        <v>101</v>
      </c>
      <c r="N136" s="44" t="s">
        <v>104</v>
      </c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22.5" customHeight="1" x14ac:dyDescent="0.25">
      <c r="A137" s="29">
        <f ca="1">IFERROR(__xludf.DUMMYFUNCTION("""COMPUTED_VALUE"""),46253.8099831018)</f>
        <v>46253.809983101797</v>
      </c>
      <c r="B137" s="11" t="str">
        <f ca="1">IFERROR(__xludf.DUMMYFUNCTION("""COMPUTED_VALUE"""),"rutvijdivekar@gmail.com")</f>
        <v>rutvijdivekar@gmail.com</v>
      </c>
      <c r="C137" s="11" t="str">
        <f ca="1">IFERROR(__xludf.DUMMYFUNCTION("""COMPUTED_VALUE"""),"VU3S2627011")</f>
        <v>VU3S2627011</v>
      </c>
      <c r="D137" s="11" t="str">
        <f ca="1">IFERROR(__xludf.DUMMYFUNCTION("""COMPUTED_VALUE"""),"rutvijdivekar@gmail.com")</f>
        <v>rutvijdivekar@gmail.com</v>
      </c>
      <c r="E137" s="11" t="str">
        <f ca="1">IFERROR(__xludf.DUMMYFUNCTION("""COMPUTED_VALUE"""),"Divekar Rutvij Manoj")</f>
        <v>Divekar Rutvij Manoj</v>
      </c>
      <c r="F137" s="11" t="str">
        <f ca="1">IFERROR(__xludf.DUMMYFUNCTION("""COMPUTED_VALUE"""),"96532 51500 ")</f>
        <v xml:space="preserve">96532 51500 </v>
      </c>
      <c r="G137" s="11" t="str">
        <f ca="1">IFERROR(__xludf.DUMMYFUNCTION("""COMPUTED_VALUE"""),"Second Year (Graduation Year of Passing:- 2029)")</f>
        <v>Second Year (Graduation Year of Passing:- 2029)</v>
      </c>
      <c r="H137" s="79" t="str">
        <f ca="1">IFERROR(__xludf.DUMMYFUNCTION("""COMPUTED_VALUE"""),"ECS")</f>
        <v>ECS</v>
      </c>
      <c r="I137" s="11" t="str">
        <f ca="1">IFERROR(__xludf.DUMMYFUNCTION("""COMPUTED_VALUE"""),"Complete C2C (Aptitude + Soft Skills + Technical) training - Rs 3500/-")</f>
        <v>Complete C2C (Aptitude + Soft Skills + Technical) training - Rs 3500/-</v>
      </c>
      <c r="J137" s="35" t="str">
        <f ca="1">IFERROR(__xludf.DUMMYFUNCTION("""COMPUTED_VALUE"""),"https://drive.google.com/open?id=1sY4cpGMiGclZcgo-uULlxzSnf9YrmntY")</f>
        <v>https://drive.google.com/open?id=1sY4cpGMiGclZcgo-uULlxzSnf9YrmntY</v>
      </c>
      <c r="K137" s="80">
        <v>3500</v>
      </c>
      <c r="L137" s="64" t="s">
        <v>429</v>
      </c>
      <c r="M137" s="76" t="s">
        <v>101</v>
      </c>
      <c r="N137" s="44" t="s">
        <v>104</v>
      </c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22.5" customHeight="1" x14ac:dyDescent="0.25">
      <c r="A138" s="29">
        <f ca="1">IFERROR(__xludf.DUMMYFUNCTION("""COMPUTED_VALUE"""),46253.9100433217)</f>
        <v>46253.910043321703</v>
      </c>
      <c r="B138" s="11" t="str">
        <f ca="1">IFERROR(__xludf.DUMMYFUNCTION("""COMPUTED_VALUE"""),"vu1f2526123@pvppcoe.ac.in")</f>
        <v>vu1f2526123@pvppcoe.ac.in</v>
      </c>
      <c r="C138" s="11" t="str">
        <f ca="1">IFERROR(__xludf.DUMMYFUNCTION("""COMPUTED_VALUE"""),"VU1F2526123")</f>
        <v>VU1F2526123</v>
      </c>
      <c r="D138" s="11" t="str">
        <f ca="1">IFERROR(__xludf.DUMMYFUNCTION("""COMPUTED_VALUE"""),"vu1f2526123@pvppcoe.ac.in")</f>
        <v>vu1f2526123@pvppcoe.ac.in</v>
      </c>
      <c r="E138" s="11" t="str">
        <f ca="1">IFERROR(__xludf.DUMMYFUNCTION("""COMPUTED_VALUE"""),"Salunke Amol Sarvambh ")</f>
        <v xml:space="preserve">Salunke Amol Sarvambh </v>
      </c>
      <c r="F138" s="11">
        <f ca="1">IFERROR(__xludf.DUMMYFUNCTION("""COMPUTED_VALUE"""),8169003379)</f>
        <v>8169003379</v>
      </c>
      <c r="G138" s="11" t="str">
        <f ca="1">IFERROR(__xludf.DUMMYFUNCTION("""COMPUTED_VALUE"""),"Second Year (Graduation Year of Passing:- 2029)")</f>
        <v>Second Year (Graduation Year of Passing:- 2029)</v>
      </c>
      <c r="H138" s="79" t="str">
        <f ca="1">IFERROR(__xludf.DUMMYFUNCTION("""COMPUTED_VALUE"""),"CS")</f>
        <v>CS</v>
      </c>
      <c r="I138" s="11" t="str">
        <f ca="1">IFERROR(__xludf.DUMMYFUNCTION("""COMPUTED_VALUE"""),"Complete C2C (Aptitude + Soft Skills + Technical) training - Rs 3500/-")</f>
        <v>Complete C2C (Aptitude + Soft Skills + Technical) training - Rs 3500/-</v>
      </c>
      <c r="J138" s="35" t="str">
        <f ca="1">IFERROR(__xludf.DUMMYFUNCTION("""COMPUTED_VALUE"""),"https://drive.google.com/open?id=1h6ByaE7VDxy6EQJhhFqCo-197FQuQVT8")</f>
        <v>https://drive.google.com/open?id=1h6ByaE7VDxy6EQJhhFqCo-197FQuQVT8</v>
      </c>
      <c r="K138" s="81">
        <v>3500</v>
      </c>
      <c r="L138" s="64" t="s">
        <v>429</v>
      </c>
      <c r="M138" s="76" t="s">
        <v>101</v>
      </c>
      <c r="N138" s="37" t="s">
        <v>104</v>
      </c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22.5" customHeight="1" x14ac:dyDescent="0.25">
      <c r="A139" s="29">
        <f ca="1">IFERROR(__xludf.DUMMYFUNCTION("""COMPUTED_VALUE"""),46254.5166742708)</f>
        <v>46254.516674270802</v>
      </c>
      <c r="B139" s="11" t="str">
        <f ca="1">IFERROR(__xludf.DUMMYFUNCTION("""COMPUTED_VALUE"""),"aseemhatre.0280@gmail.com")</f>
        <v>aseemhatre.0280@gmail.com</v>
      </c>
      <c r="C139" s="11" t="str">
        <f ca="1">IFERROR(__xludf.DUMMYFUNCTION("""COMPUTED_VALUE"""),"VU3S2627006")</f>
        <v>VU3S2627006</v>
      </c>
      <c r="D139" s="11" t="str">
        <f ca="1">IFERROR(__xludf.DUMMYFUNCTION("""COMPUTED_VALUE"""),"aseemhatre.0280@gmail.com")</f>
        <v>aseemhatre.0280@gmail.com</v>
      </c>
      <c r="E139" s="11" t="str">
        <f ca="1">IFERROR(__xludf.DUMMYFUNCTION("""COMPUTED_VALUE"""),"Mhatre Aseem Prashant")</f>
        <v>Mhatre Aseem Prashant</v>
      </c>
      <c r="F139" s="11">
        <f ca="1">IFERROR(__xludf.DUMMYFUNCTION("""COMPUTED_VALUE"""),7304610280)</f>
        <v>7304610280</v>
      </c>
      <c r="G139" s="11" t="str">
        <f ca="1">IFERROR(__xludf.DUMMYFUNCTION("""COMPUTED_VALUE"""),"Second Year (Graduation Year of Passing:- 2029)")</f>
        <v>Second Year (Graduation Year of Passing:- 2029)</v>
      </c>
      <c r="H139" s="79" t="str">
        <f ca="1">IFERROR(__xludf.DUMMYFUNCTION("""COMPUTED_VALUE"""),"ECS")</f>
        <v>ECS</v>
      </c>
      <c r="I139" s="11" t="str">
        <f ca="1">IFERROR(__xludf.DUMMYFUNCTION("""COMPUTED_VALUE"""),"Complete C2C (Aptitude + Soft Skills + Technical) training - Rs 3500/-")</f>
        <v>Complete C2C (Aptitude + Soft Skills + Technical) training - Rs 3500/-</v>
      </c>
      <c r="J139" s="35" t="str">
        <f ca="1">IFERROR(__xludf.DUMMYFUNCTION("""COMPUTED_VALUE"""),"https://drive.google.com/open?id=1azuH1Y31eXASsOLOq2MknqvwhR6UBmEV")</f>
        <v>https://drive.google.com/open?id=1azuH1Y31eXASsOLOq2MknqvwhR6UBmEV</v>
      </c>
      <c r="K139" s="80">
        <v>3500</v>
      </c>
      <c r="L139" s="64" t="s">
        <v>429</v>
      </c>
      <c r="M139" s="76" t="s">
        <v>101</v>
      </c>
      <c r="N139" s="37" t="s">
        <v>104</v>
      </c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22.5" customHeight="1" x14ac:dyDescent="0.25">
      <c r="A140" s="29">
        <f ca="1">IFERROR(__xludf.DUMMYFUNCTION("""COMPUTED_VALUE"""),46254.5200137152)</f>
        <v>46254.520013715199</v>
      </c>
      <c r="B140" s="11" t="str">
        <f ca="1">IFERROR(__xludf.DUMMYFUNCTION("""COMPUTED_VALUE"""),"vu4f2526015@pvppcoe.ac.in")</f>
        <v>vu4f2526015@pvppcoe.ac.in</v>
      </c>
      <c r="C140" s="11" t="str">
        <f ca="1">IFERROR(__xludf.DUMMYFUNCTION("""COMPUTED_VALUE"""),"VU4F2526015 ")</f>
        <v xml:space="preserve">VU4F2526015 </v>
      </c>
      <c r="D140" s="11" t="str">
        <f ca="1">IFERROR(__xludf.DUMMYFUNCTION("""COMPUTED_VALUE"""),"vu4f2526015@pvppcoe.ac.in")</f>
        <v>vu4f2526015@pvppcoe.ac.in</v>
      </c>
      <c r="E140" s="11" t="str">
        <f ca="1">IFERROR(__xludf.DUMMYFUNCTION("""COMPUTED_VALUE"""),"Dhivar Bhushan Sanjay")</f>
        <v>Dhivar Bhushan Sanjay</v>
      </c>
      <c r="F140" s="11">
        <f ca="1">IFERROR(__xludf.DUMMYFUNCTION("""COMPUTED_VALUE"""),9892940681)</f>
        <v>9892940681</v>
      </c>
      <c r="G140" s="11" t="str">
        <f ca="1">IFERROR(__xludf.DUMMYFUNCTION("""COMPUTED_VALUE"""),"Second Year (Graduation Year of Passing:- 2029)")</f>
        <v>Second Year (Graduation Year of Passing:- 2029)</v>
      </c>
      <c r="H140" s="79" t="str">
        <f ca="1">IFERROR(__xludf.DUMMYFUNCTION("""COMPUTED_VALUE"""),"IT")</f>
        <v>IT</v>
      </c>
      <c r="I140" s="11" t="str">
        <f ca="1">IFERROR(__xludf.DUMMYFUNCTION("""COMPUTED_VALUE"""),"Complete C2C (Aptitude + Soft Skills + Technical) training - Rs 3500/-")</f>
        <v>Complete C2C (Aptitude + Soft Skills + Technical) training - Rs 3500/-</v>
      </c>
      <c r="J140" s="35" t="str">
        <f ca="1">IFERROR(__xludf.DUMMYFUNCTION("""COMPUTED_VALUE"""),"https://drive.google.com/open?id=1J-7Le0ImTRApZW2GxR-acYNXn5isDJmI")</f>
        <v>https://drive.google.com/open?id=1J-7Le0ImTRApZW2GxR-acYNXn5isDJmI</v>
      </c>
      <c r="K140" s="81">
        <v>3500</v>
      </c>
      <c r="L140" s="64" t="s">
        <v>429</v>
      </c>
      <c r="M140" s="76" t="s">
        <v>101</v>
      </c>
      <c r="N140" s="37" t="s">
        <v>799</v>
      </c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22.5" customHeight="1" x14ac:dyDescent="0.25">
      <c r="A141" s="29">
        <f ca="1">IFERROR(__xludf.DUMMYFUNCTION("""COMPUTED_VALUE"""),46254.5415461574)</f>
        <v>46254.541546157401</v>
      </c>
      <c r="B141" s="11" t="str">
        <f ca="1">IFERROR(__xludf.DUMMYFUNCTION("""COMPUTED_VALUE"""),"vu4f2526127@pvppcoe.ac.in")</f>
        <v>vu4f2526127@pvppcoe.ac.in</v>
      </c>
      <c r="C141" s="11" t="str">
        <f ca="1">IFERROR(__xludf.DUMMYFUNCTION("""COMPUTED_VALUE"""),"VU4F2526127 ")</f>
        <v xml:space="preserve">VU4F2526127 </v>
      </c>
      <c r="D141" s="11" t="str">
        <f ca="1">IFERROR(__xludf.DUMMYFUNCTION("""COMPUTED_VALUE"""),"vu4f2526127@pvppcoe.ac.in")</f>
        <v>vu4f2526127@pvppcoe.ac.in</v>
      </c>
      <c r="E141" s="11" t="str">
        <f ca="1">IFERROR(__xludf.DUMMYFUNCTION("""COMPUTED_VALUE"""),"Agarwal Mahak ")</f>
        <v xml:space="preserve">Agarwal Mahak </v>
      </c>
      <c r="F141" s="11">
        <f ca="1">IFERROR(__xludf.DUMMYFUNCTION("""COMPUTED_VALUE"""),9137227466)</f>
        <v>9137227466</v>
      </c>
      <c r="G141" s="11" t="str">
        <f ca="1">IFERROR(__xludf.DUMMYFUNCTION("""COMPUTED_VALUE"""),"Second Year (Graduation Year of Passing:- 2029)")</f>
        <v>Second Year (Graduation Year of Passing:- 2029)</v>
      </c>
      <c r="H141" s="79" t="str">
        <f ca="1">IFERROR(__xludf.DUMMYFUNCTION("""COMPUTED_VALUE"""),"IT")</f>
        <v>IT</v>
      </c>
      <c r="I141" s="11" t="str">
        <f ca="1">IFERROR(__xludf.DUMMYFUNCTION("""COMPUTED_VALUE"""),"Complete C2C (Aptitude + Soft Skills + Technical) training - Rs 3500/-")</f>
        <v>Complete C2C (Aptitude + Soft Skills + Technical) training - Rs 3500/-</v>
      </c>
      <c r="J141" s="35" t="str">
        <f ca="1">IFERROR(__xludf.DUMMYFUNCTION("""COMPUTED_VALUE"""),"https://drive.google.com/open?id=13xT1fR4MxT3Qx2gWYxnUYZzg2yTdv6M3")</f>
        <v>https://drive.google.com/open?id=13xT1fR4MxT3Qx2gWYxnUYZzg2yTdv6M3</v>
      </c>
      <c r="K141" s="80">
        <v>3500</v>
      </c>
      <c r="L141" s="64" t="s">
        <v>429</v>
      </c>
      <c r="M141" s="76" t="s">
        <v>101</v>
      </c>
      <c r="N141" s="44" t="s">
        <v>104</v>
      </c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22.5" customHeight="1" x14ac:dyDescent="0.25">
      <c r="A142" s="29">
        <f ca="1">IFERROR(__xludf.DUMMYFUNCTION("""COMPUTED_VALUE"""),46254.6111262268)</f>
        <v>46254.611126226802</v>
      </c>
      <c r="B142" s="11" t="str">
        <f ca="1">IFERROR(__xludf.DUMMYFUNCTION("""COMPUTED_VALUE"""),"angatgala@gmail.com")</f>
        <v>angatgala@gmail.com</v>
      </c>
      <c r="C142" s="11" t="str">
        <f ca="1">IFERROR(__xludf.DUMMYFUNCTION("""COMPUTED_VALUE"""),"VU2F2526020")</f>
        <v>VU2F2526020</v>
      </c>
      <c r="D142" s="11" t="str">
        <f ca="1">IFERROR(__xludf.DUMMYFUNCTION("""COMPUTED_VALUE"""),"angatgala@gmail.com")</f>
        <v>angatgala@gmail.com</v>
      </c>
      <c r="E142" s="11" t="str">
        <f ca="1">IFERROR(__xludf.DUMMYFUNCTION("""COMPUTED_VALUE"""),"GALA ANGAT HENNY")</f>
        <v>GALA ANGAT HENNY</v>
      </c>
      <c r="F142" s="11">
        <f ca="1">IFERROR(__xludf.DUMMYFUNCTION("""COMPUTED_VALUE"""),8329881698)</f>
        <v>8329881698</v>
      </c>
      <c r="G142" s="11" t="str">
        <f ca="1">IFERROR(__xludf.DUMMYFUNCTION("""COMPUTED_VALUE"""),"Second Year (Graduation Year of Passing:- 2029)")</f>
        <v>Second Year (Graduation Year of Passing:- 2029)</v>
      </c>
      <c r="H142" s="79" t="str">
        <f ca="1">IFERROR(__xludf.DUMMYFUNCTION("""COMPUTED_VALUE"""),"AI &amp; ML")</f>
        <v>AI &amp; ML</v>
      </c>
      <c r="I142" s="11" t="str">
        <f ca="1">IFERROR(__xludf.DUMMYFUNCTION("""COMPUTED_VALUE"""),"Complete C2C (Aptitude + Soft Skills + Technical) training - Rs 3500/-")</f>
        <v>Complete C2C (Aptitude + Soft Skills + Technical) training - Rs 3500/-</v>
      </c>
      <c r="J142" s="35" t="str">
        <f ca="1">IFERROR(__xludf.DUMMYFUNCTION("""COMPUTED_VALUE"""),"https://drive.google.com/open?id=1r4Wcz-gWztD4cCDaxBH1bTCxincDO1Cn")</f>
        <v>https://drive.google.com/open?id=1r4Wcz-gWztD4cCDaxBH1bTCxincDO1Cn</v>
      </c>
      <c r="K142" s="81">
        <v>2000</v>
      </c>
      <c r="L142" s="64" t="s">
        <v>429</v>
      </c>
      <c r="M142" s="76" t="s">
        <v>101</v>
      </c>
      <c r="N142" s="37" t="s">
        <v>104</v>
      </c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22.5" customHeight="1" x14ac:dyDescent="0.25">
      <c r="A143" s="29">
        <f ca="1">IFERROR(__xludf.DUMMYFUNCTION("""COMPUTED_VALUE"""),46254.8326887268)</f>
        <v>46254.832688726798</v>
      </c>
      <c r="B143" s="11" t="str">
        <f ca="1">IFERROR(__xludf.DUMMYFUNCTION("""COMPUTED_VALUE"""),"vu3f2526048@pvppcoe.ac.in")</f>
        <v>vu3f2526048@pvppcoe.ac.in</v>
      </c>
      <c r="C143" s="11" t="str">
        <f ca="1">IFERROR(__xludf.DUMMYFUNCTION("""COMPUTED_VALUE"""),"VU3S4T256048")</f>
        <v>VU3S4T256048</v>
      </c>
      <c r="D143" s="11" t="str">
        <f ca="1">IFERROR(__xludf.DUMMYFUNCTION("""COMPUTED_VALUE"""),"vu3f2526048@pvppcoe.ac.in")</f>
        <v>vu3f2526048@pvppcoe.ac.in</v>
      </c>
      <c r="E143" s="11" t="str">
        <f ca="1">IFERROR(__xludf.DUMMYFUNCTION("""COMPUTED_VALUE"""),"MISHRA VIGHNESH JAYPRAKASH")</f>
        <v>MISHRA VIGHNESH JAYPRAKASH</v>
      </c>
      <c r="F143" s="11">
        <f ca="1">IFERROR(__xludf.DUMMYFUNCTION("""COMPUTED_VALUE"""),7021407297)</f>
        <v>7021407297</v>
      </c>
      <c r="G143" s="11" t="str">
        <f ca="1">IFERROR(__xludf.DUMMYFUNCTION("""COMPUTED_VALUE"""),"Second Year (Graduation Year of Passing:- 2029)")</f>
        <v>Second Year (Graduation Year of Passing:- 2029)</v>
      </c>
      <c r="H143" s="79" t="str">
        <f ca="1">IFERROR(__xludf.DUMMYFUNCTION("""COMPUTED_VALUE"""),"IT")</f>
        <v>IT</v>
      </c>
      <c r="I143" s="11" t="str">
        <f ca="1">IFERROR(__xludf.DUMMYFUNCTION("""COMPUTED_VALUE"""),"Complete C2C (Aptitude + Soft Skills + Technical) training - Rs 3500/-")</f>
        <v>Complete C2C (Aptitude + Soft Skills + Technical) training - Rs 3500/-</v>
      </c>
      <c r="J143" s="35" t="str">
        <f ca="1">IFERROR(__xludf.DUMMYFUNCTION("""COMPUTED_VALUE"""),"https://drive.google.com/open?id=1zamDEFvNXi4Z_Fr6ov6pCy8QG_oDSh2-")</f>
        <v>https://drive.google.com/open?id=1zamDEFvNXi4Z_Fr6ov6pCy8QG_oDSh2-</v>
      </c>
      <c r="K143" s="80">
        <v>3500</v>
      </c>
      <c r="L143" s="64" t="s">
        <v>429</v>
      </c>
      <c r="M143" s="76" t="s">
        <v>101</v>
      </c>
      <c r="N143" s="37" t="s">
        <v>104</v>
      </c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22.5" customHeight="1" x14ac:dyDescent="0.25">
      <c r="A144" s="29">
        <f ca="1">IFERROR(__xludf.DUMMYFUNCTION("""COMPUTED_VALUE"""),46254.8395098958)</f>
        <v>46254.839509895799</v>
      </c>
      <c r="B144" s="11" t="str">
        <f ca="1">IFERROR(__xludf.DUMMYFUNCTION("""COMPUTED_VALUE"""),"vu4f2526050@pvppcoe.ac.in")</f>
        <v>vu4f2526050@pvppcoe.ac.in</v>
      </c>
      <c r="C144" s="11" t="str">
        <f ca="1">IFERROR(__xludf.DUMMYFUNCTION("""COMPUTED_VALUE"""),"VU4F2526050")</f>
        <v>VU4F2526050</v>
      </c>
      <c r="D144" s="11" t="str">
        <f ca="1">IFERROR(__xludf.DUMMYFUNCTION("""COMPUTED_VALUE"""),"vu4f2526050@pvppcoe.ac.in")</f>
        <v>vu4f2526050@pvppcoe.ac.in</v>
      </c>
      <c r="E144" s="11" t="str">
        <f ca="1">IFERROR(__xludf.DUMMYFUNCTION("""COMPUTED_VALUE"""),"Howal Aditya Vijay ")</f>
        <v xml:space="preserve">Howal Aditya Vijay </v>
      </c>
      <c r="F144" s="11">
        <f ca="1">IFERROR(__xludf.DUMMYFUNCTION("""COMPUTED_VALUE"""),7738299420)</f>
        <v>7738299420</v>
      </c>
      <c r="G144" s="11" t="str">
        <f ca="1">IFERROR(__xludf.DUMMYFUNCTION("""COMPUTED_VALUE"""),"Second Year (Graduation Year of Passing:- 2029)")</f>
        <v>Second Year (Graduation Year of Passing:- 2029)</v>
      </c>
      <c r="H144" s="79" t="str">
        <f ca="1">IFERROR(__xludf.DUMMYFUNCTION("""COMPUTED_VALUE"""),"IT")</f>
        <v>IT</v>
      </c>
      <c r="I144" s="11" t="str">
        <f ca="1">IFERROR(__xludf.DUMMYFUNCTION("""COMPUTED_VALUE"""),"Complete C2C (Aptitude + Soft Skills + Technical) training - Rs 3500/-")</f>
        <v>Complete C2C (Aptitude + Soft Skills + Technical) training - Rs 3500/-</v>
      </c>
      <c r="J144" s="35" t="str">
        <f ca="1">IFERROR(__xludf.DUMMYFUNCTION("""COMPUTED_VALUE"""),"https://drive.google.com/open?id=1IiJKIySYIWU30N6QL42Dy1I_CrbRWlOU")</f>
        <v>https://drive.google.com/open?id=1IiJKIySYIWU30N6QL42Dy1I_CrbRWlOU</v>
      </c>
      <c r="K144" s="81">
        <v>3500</v>
      </c>
      <c r="L144" s="64" t="s">
        <v>429</v>
      </c>
      <c r="M144" s="76" t="s">
        <v>101</v>
      </c>
      <c r="N144" s="37" t="s">
        <v>104</v>
      </c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22.5" customHeight="1" x14ac:dyDescent="0.25">
      <c r="A145" s="29">
        <f ca="1">IFERROR(__xludf.DUMMYFUNCTION("""COMPUTED_VALUE"""),46254.8395518402)</f>
        <v>46254.839551840203</v>
      </c>
      <c r="B145" s="11" t="str">
        <f ca="1">IFERROR(__xludf.DUMMYFUNCTION("""COMPUTED_VALUE"""),"vu1f2526049@pvppcoe.ac.in")</f>
        <v>vu1f2526049@pvppcoe.ac.in</v>
      </c>
      <c r="C145" s="11" t="str">
        <f ca="1">IFERROR(__xludf.DUMMYFUNCTION("""COMPUTED_VALUE"""),"VU1F2526049 ")</f>
        <v xml:space="preserve">VU1F2526049 </v>
      </c>
      <c r="D145" s="11" t="str">
        <f ca="1">IFERROR(__xludf.DUMMYFUNCTION("""COMPUTED_VALUE"""),"vu1f2526049@pvppcoe.ac.in")</f>
        <v>vu1f2526049@pvppcoe.ac.in</v>
      </c>
      <c r="E145" s="11" t="str">
        <f ca="1">IFERROR(__xludf.DUMMYFUNCTION("""COMPUTED_VALUE"""),"Mishra govind Kumar ")</f>
        <v xml:space="preserve">Mishra govind Kumar </v>
      </c>
      <c r="F145" s="11">
        <f ca="1">IFERROR(__xludf.DUMMYFUNCTION("""COMPUTED_VALUE"""),8252495040)</f>
        <v>8252495040</v>
      </c>
      <c r="G145" s="11" t="str">
        <f ca="1">IFERROR(__xludf.DUMMYFUNCTION("""COMPUTED_VALUE"""),"Second Year (Graduation Year of Passing:- 2029)")</f>
        <v>Second Year (Graduation Year of Passing:- 2029)</v>
      </c>
      <c r="H145" s="79" t="str">
        <f ca="1">IFERROR(__xludf.DUMMYFUNCTION("""COMPUTED_VALUE"""),"CS")</f>
        <v>CS</v>
      </c>
      <c r="I145" s="11" t="str">
        <f ca="1">IFERROR(__xludf.DUMMYFUNCTION("""COMPUTED_VALUE"""),"Complete C2C (Aptitude + Soft Skills + Technical) training - Rs 3500/-")</f>
        <v>Complete C2C (Aptitude + Soft Skills + Technical) training - Rs 3500/-</v>
      </c>
      <c r="J145" s="35" t="str">
        <f ca="1">IFERROR(__xludf.DUMMYFUNCTION("""COMPUTED_VALUE"""),"https://drive.google.com/open?id=1vyyJ7PGEGJRVW3qmpC940Wfr_foZN3zF")</f>
        <v>https://drive.google.com/open?id=1vyyJ7PGEGJRVW3qmpC940Wfr_foZN3zF</v>
      </c>
      <c r="K145" s="80">
        <v>3500</v>
      </c>
      <c r="L145" s="64" t="s">
        <v>429</v>
      </c>
      <c r="M145" s="76" t="s">
        <v>101</v>
      </c>
      <c r="N145" s="37" t="s">
        <v>104</v>
      </c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22.5" customHeight="1" x14ac:dyDescent="0.25">
      <c r="A146" s="29">
        <f ca="1">IFERROR(__xludf.DUMMYFUNCTION("""COMPUTED_VALUE"""),46254.8457032986)</f>
        <v>46254.845703298597</v>
      </c>
      <c r="B146" s="11" t="str">
        <f ca="1">IFERROR(__xludf.DUMMYFUNCTION("""COMPUTED_VALUE"""),"vu3f2526071@pvppcoe.ac.in")</f>
        <v>vu3f2526071@pvppcoe.ac.in</v>
      </c>
      <c r="C146" s="11" t="str">
        <f ca="1">IFERROR(__xludf.DUMMYFUNCTION("""COMPUTED_VALUE"""),"VU3F2526071 ")</f>
        <v xml:space="preserve">VU3F2526071 </v>
      </c>
      <c r="D146" s="11" t="str">
        <f ca="1">IFERROR(__xludf.DUMMYFUNCTION("""COMPUTED_VALUE"""),"vu3f2526071@pvppcoe.ac.in")</f>
        <v>vu3f2526071@pvppcoe.ac.in</v>
      </c>
      <c r="E146" s="11" t="str">
        <f ca="1">IFERROR(__xludf.DUMMYFUNCTION("""COMPUTED_VALUE"""),"GAIKWAD APURVA CHANDRAKANT ")</f>
        <v xml:space="preserve">GAIKWAD APURVA CHANDRAKANT </v>
      </c>
      <c r="F146" s="11">
        <f ca="1">IFERROR(__xludf.DUMMYFUNCTION("""COMPUTED_VALUE"""),9967443912)</f>
        <v>9967443912</v>
      </c>
      <c r="G146" s="11" t="str">
        <f ca="1">IFERROR(__xludf.DUMMYFUNCTION("""COMPUTED_VALUE"""),"Second Year (Graduation Year of Passing:- 2029)")</f>
        <v>Second Year (Graduation Year of Passing:- 2029)</v>
      </c>
      <c r="H146" s="79" t="str">
        <f ca="1">IFERROR(__xludf.DUMMYFUNCTION("""COMPUTED_VALUE"""),"ECS")</f>
        <v>ECS</v>
      </c>
      <c r="I146" s="11" t="str">
        <f ca="1">IFERROR(__xludf.DUMMYFUNCTION("""COMPUTED_VALUE"""),"Complete C2C (Aptitude + Soft Skills + Technical) training - Rs 3500/-")</f>
        <v>Complete C2C (Aptitude + Soft Skills + Technical) training - Rs 3500/-</v>
      </c>
      <c r="J146" s="67" t="str">
        <f ca="1">IFERROR(__xludf.DUMMYFUNCTION("""COMPUTED_VALUE"""),"https://drive.google.com/open?id=1YIS38r_vI0PFicgHQviuuexhzhqFg1sP")</f>
        <v>https://drive.google.com/open?id=1YIS38r_vI0PFicgHQviuuexhzhqFg1sP</v>
      </c>
      <c r="K146" s="80">
        <v>3500</v>
      </c>
      <c r="L146" s="64" t="s">
        <v>429</v>
      </c>
      <c r="M146" s="76" t="s">
        <v>101</v>
      </c>
      <c r="N146" s="37" t="s">
        <v>104</v>
      </c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22.5" customHeight="1" x14ac:dyDescent="0.25">
      <c r="A147" s="29">
        <f ca="1">IFERROR(__xludf.DUMMYFUNCTION("""COMPUTED_VALUE"""),46254.9104882638)</f>
        <v>46254.910488263798</v>
      </c>
      <c r="B147" s="11" t="str">
        <f ca="1">IFERROR(__xludf.DUMMYFUNCTION("""COMPUTED_VALUE"""),"vu1f2526051@pvppcoe.ac.in")</f>
        <v>vu1f2526051@pvppcoe.ac.in</v>
      </c>
      <c r="C147" s="11" t="str">
        <f ca="1">IFERROR(__xludf.DUMMYFUNCTION("""COMPUTED_VALUE"""),"VU1F2526051")</f>
        <v>VU1F2526051</v>
      </c>
      <c r="D147" s="11" t="str">
        <f ca="1">IFERROR(__xludf.DUMMYFUNCTION("""COMPUTED_VALUE"""),"vu1f2526051@gmail.com")</f>
        <v>vu1f2526051@gmail.com</v>
      </c>
      <c r="E147" s="11" t="str">
        <f ca="1">IFERROR(__xludf.DUMMYFUNCTION("""COMPUTED_VALUE"""),"Ubhare Harshit Sunil")</f>
        <v>Ubhare Harshit Sunil</v>
      </c>
      <c r="F147" s="11">
        <f ca="1">IFERROR(__xludf.DUMMYFUNCTION("""COMPUTED_VALUE"""),7385636493)</f>
        <v>7385636493</v>
      </c>
      <c r="G147" s="11" t="str">
        <f ca="1">IFERROR(__xludf.DUMMYFUNCTION("""COMPUTED_VALUE"""),"Second Year (Graduation Year of Passing:- 2029)")</f>
        <v>Second Year (Graduation Year of Passing:- 2029)</v>
      </c>
      <c r="H147" s="79" t="str">
        <f ca="1">IFERROR(__xludf.DUMMYFUNCTION("""COMPUTED_VALUE"""),"CS")</f>
        <v>CS</v>
      </c>
      <c r="I147" s="11" t="str">
        <f ca="1">IFERROR(__xludf.DUMMYFUNCTION("""COMPUTED_VALUE"""),"Complete C2C (Aptitude + Soft Skills + Technical) training - Rs 3500/-")</f>
        <v>Complete C2C (Aptitude + Soft Skills + Technical) training - Rs 3500/-</v>
      </c>
      <c r="J147" s="35" t="str">
        <f ca="1">IFERROR(__xludf.DUMMYFUNCTION("""COMPUTED_VALUE"""),"https://drive.google.com/open?id=1qr6r4CKfkHDn74jI-OwFtMoi1OTsbKbE")</f>
        <v>https://drive.google.com/open?id=1qr6r4CKfkHDn74jI-OwFtMoi1OTsbKbE</v>
      </c>
      <c r="K147" s="80">
        <v>3500</v>
      </c>
      <c r="L147" s="64" t="s">
        <v>429</v>
      </c>
      <c r="M147" s="76" t="s">
        <v>101</v>
      </c>
      <c r="N147" s="37" t="s">
        <v>104</v>
      </c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22.5" customHeight="1" x14ac:dyDescent="0.25">
      <c r="A148" s="29">
        <f ca="1">IFERROR(__xludf.DUMMYFUNCTION("""COMPUTED_VALUE"""),46254.9282011689)</f>
        <v>46254.928201168899</v>
      </c>
      <c r="B148" s="11" t="str">
        <f ca="1">IFERROR(__xludf.DUMMYFUNCTION("""COMPUTED_VALUE"""),"vu3f2526124@pvppcoe.ac.in")</f>
        <v>vu3f2526124@pvppcoe.ac.in</v>
      </c>
      <c r="C148" s="11" t="str">
        <f ca="1">IFERROR(__xludf.DUMMYFUNCTION("""COMPUTED_VALUE"""),"VU3F2526124")</f>
        <v>VU3F2526124</v>
      </c>
      <c r="D148" s="11" t="str">
        <f ca="1">IFERROR(__xludf.DUMMYFUNCTION("""COMPUTED_VALUE"""),"vu3f2526124@pvppcoe.ac.in")</f>
        <v>vu3f2526124@pvppcoe.ac.in</v>
      </c>
      <c r="E148" s="11" t="str">
        <f ca="1">IFERROR(__xludf.DUMMYFUNCTION("""COMPUTED_VALUE"""),"Kadam Anchit Vishwanath")</f>
        <v>Kadam Anchit Vishwanath</v>
      </c>
      <c r="F148" s="11">
        <f ca="1">IFERROR(__xludf.DUMMYFUNCTION("""COMPUTED_VALUE"""),8850479642)</f>
        <v>8850479642</v>
      </c>
      <c r="G148" s="11" t="str">
        <f ca="1">IFERROR(__xludf.DUMMYFUNCTION("""COMPUTED_VALUE"""),"Second Year (Graduation Year of Passing:- 2029)")</f>
        <v>Second Year (Graduation Year of Passing:- 2029)</v>
      </c>
      <c r="H148" s="79" t="str">
        <f ca="1">IFERROR(__xludf.DUMMYFUNCTION("""COMPUTED_VALUE"""),"ECS")</f>
        <v>ECS</v>
      </c>
      <c r="I148" s="11" t="str">
        <f ca="1">IFERROR(__xludf.DUMMYFUNCTION("""COMPUTED_VALUE"""),"Complete C2C (Aptitude + Soft Skills + Technical) training - Rs 3500/-")</f>
        <v>Complete C2C (Aptitude + Soft Skills + Technical) training - Rs 3500/-</v>
      </c>
      <c r="J148" s="35" t="str">
        <f ca="1">IFERROR(__xludf.DUMMYFUNCTION("""COMPUTED_VALUE"""),"https://drive.google.com/open?id=1ivlUc2E3NmcP2A3suPDt_SDXHQaI3EMx")</f>
        <v>https://drive.google.com/open?id=1ivlUc2E3NmcP2A3suPDt_SDXHQaI3EMx</v>
      </c>
      <c r="K148" s="81">
        <v>3500</v>
      </c>
      <c r="L148" s="64" t="s">
        <v>429</v>
      </c>
      <c r="M148" s="76" t="s">
        <v>101</v>
      </c>
      <c r="N148" s="37" t="s">
        <v>104</v>
      </c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22.5" customHeight="1" x14ac:dyDescent="0.25">
      <c r="A149" s="29">
        <f ca="1">IFERROR(__xludf.DUMMYFUNCTION("""COMPUTED_VALUE"""),46254.9298850925)</f>
        <v>46254.929885092497</v>
      </c>
      <c r="B149" s="11" t="str">
        <f ca="1">IFERROR(__xludf.DUMMYFUNCTION("""COMPUTED_VALUE"""),"vu2f2526135@pvppcoe.ac.in")</f>
        <v>vu2f2526135@pvppcoe.ac.in</v>
      </c>
      <c r="C149" s="11" t="str">
        <f ca="1">IFERROR(__xludf.DUMMYFUNCTION("""COMPUTED_VALUE"""),"VU2F2526135 ")</f>
        <v xml:space="preserve">VU2F2526135 </v>
      </c>
      <c r="D149" s="11" t="str">
        <f ca="1">IFERROR(__xludf.DUMMYFUNCTION("""COMPUTED_VALUE"""),"vu2f2526135@pvppcoe.ac.in")</f>
        <v>vu2f2526135@pvppcoe.ac.in</v>
      </c>
      <c r="E149" s="11" t="str">
        <f ca="1">IFERROR(__xludf.DUMMYFUNCTION("""COMPUTED_VALUE"""),"Bhosale Durva Prasad ")</f>
        <v xml:space="preserve">Bhosale Durva Prasad </v>
      </c>
      <c r="F149" s="11">
        <f ca="1">IFERROR(__xludf.DUMMYFUNCTION("""COMPUTED_VALUE"""),9223329774)</f>
        <v>9223329774</v>
      </c>
      <c r="G149" s="11" t="str">
        <f ca="1">IFERROR(__xludf.DUMMYFUNCTION("""COMPUTED_VALUE"""),"Second Year (Graduation Year of Passing:- 2029)")</f>
        <v>Second Year (Graduation Year of Passing:- 2029)</v>
      </c>
      <c r="H149" s="79" t="str">
        <f ca="1">IFERROR(__xludf.DUMMYFUNCTION("""COMPUTED_VALUE"""),"AI &amp; ML")</f>
        <v>AI &amp; ML</v>
      </c>
      <c r="I149" s="11" t="str">
        <f ca="1">IFERROR(__xludf.DUMMYFUNCTION("""COMPUTED_VALUE"""),"Complete C2C (Aptitude + Soft Skills + Technical) training - Rs 3500/-")</f>
        <v>Complete C2C (Aptitude + Soft Skills + Technical) training - Rs 3500/-</v>
      </c>
      <c r="J149" s="35" t="str">
        <f ca="1">IFERROR(__xludf.DUMMYFUNCTION("""COMPUTED_VALUE"""),"https://drive.google.com/open?id=1nbTWxqTN-aHSmbpRq7jjJ1Jc7V24o-o5")</f>
        <v>https://drive.google.com/open?id=1nbTWxqTN-aHSmbpRq7jjJ1Jc7V24o-o5</v>
      </c>
      <c r="K149" s="80">
        <v>3500</v>
      </c>
      <c r="L149" s="64" t="s">
        <v>429</v>
      </c>
      <c r="M149" s="76" t="s">
        <v>101</v>
      </c>
      <c r="N149" s="37" t="s">
        <v>104</v>
      </c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22.5" customHeight="1" x14ac:dyDescent="0.25">
      <c r="A150" s="29">
        <f ca="1">IFERROR(__xludf.DUMMYFUNCTION("""COMPUTED_VALUE"""),46254.9329416666)</f>
        <v>46254.932941666601</v>
      </c>
      <c r="B150" s="11" t="str">
        <f ca="1">IFERROR(__xludf.DUMMYFUNCTION("""COMPUTED_VALUE"""),"vu3f2526022@pvppcoe.ac.in")</f>
        <v>vu3f2526022@pvppcoe.ac.in</v>
      </c>
      <c r="C150" s="11" t="str">
        <f ca="1">IFERROR(__xludf.DUMMYFUNCTION("""COMPUTED_VALUE"""),"VU3F2526022")</f>
        <v>VU3F2526022</v>
      </c>
      <c r="D150" s="11" t="str">
        <f ca="1">IFERROR(__xludf.DUMMYFUNCTION("""COMPUTED_VALUE"""),"vu3f2526022@pvppcoe.ac.in")</f>
        <v>vu3f2526022@pvppcoe.ac.in</v>
      </c>
      <c r="E150" s="11" t="str">
        <f ca="1">IFERROR(__xludf.DUMMYFUNCTION("""COMPUTED_VALUE"""),"Dudhe Ruchi Suwas")</f>
        <v>Dudhe Ruchi Suwas</v>
      </c>
      <c r="F150" s="11">
        <f ca="1">IFERROR(__xludf.DUMMYFUNCTION("""COMPUTED_VALUE"""),9892222117)</f>
        <v>9892222117</v>
      </c>
      <c r="G150" s="11" t="str">
        <f ca="1">IFERROR(__xludf.DUMMYFUNCTION("""COMPUTED_VALUE"""),"Second Year (Graduation Year of Passing:- 2029)")</f>
        <v>Second Year (Graduation Year of Passing:- 2029)</v>
      </c>
      <c r="H150" s="79" t="str">
        <f ca="1">IFERROR(__xludf.DUMMYFUNCTION("""COMPUTED_VALUE"""),"ECS")</f>
        <v>ECS</v>
      </c>
      <c r="I150" s="11" t="str">
        <f ca="1">IFERROR(__xludf.DUMMYFUNCTION("""COMPUTED_VALUE"""),"Complete C2C (Aptitude + Soft Skills + Technical) training - Rs 3500/-")</f>
        <v>Complete C2C (Aptitude + Soft Skills + Technical) training - Rs 3500/-</v>
      </c>
      <c r="J150" s="35" t="str">
        <f ca="1">IFERROR(__xludf.DUMMYFUNCTION("""COMPUTED_VALUE"""),"https://drive.google.com/open?id=1PRBMVVq7qkCGvJ6YUN4ikMaxu8t6kpDE")</f>
        <v>https://drive.google.com/open?id=1PRBMVVq7qkCGvJ6YUN4ikMaxu8t6kpDE</v>
      </c>
      <c r="K150" s="81">
        <v>3500</v>
      </c>
      <c r="L150" s="64" t="s">
        <v>429</v>
      </c>
      <c r="M150" s="76" t="s">
        <v>101</v>
      </c>
      <c r="N150" s="37" t="s">
        <v>104</v>
      </c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22.5" customHeight="1" x14ac:dyDescent="0.25">
      <c r="A151" s="29">
        <f ca="1">IFERROR(__xludf.DUMMYFUNCTION("""COMPUTED_VALUE"""),46254.9352936458)</f>
        <v>46254.935293645802</v>
      </c>
      <c r="B151" s="11" t="str">
        <f ca="1">IFERROR(__xludf.DUMMYFUNCTION("""COMPUTED_VALUE"""),"vu3f2526126@pvppcoe.ac.in")</f>
        <v>vu3f2526126@pvppcoe.ac.in</v>
      </c>
      <c r="C151" s="11" t="str">
        <f ca="1">IFERROR(__xludf.DUMMYFUNCTION("""COMPUTED_VALUE"""),"VU3F2526126 ")</f>
        <v xml:space="preserve">VU3F2526126 </v>
      </c>
      <c r="D151" s="11" t="str">
        <f ca="1">IFERROR(__xludf.DUMMYFUNCTION("""COMPUTED_VALUE"""),"vu3f2526126@pvppcoe.ac.in")</f>
        <v>vu3f2526126@pvppcoe.ac.in</v>
      </c>
      <c r="E151" s="11" t="str">
        <f ca="1">IFERROR(__xludf.DUMMYFUNCTION("""COMPUTED_VALUE"""),"Vedant Milindra Raut ")</f>
        <v xml:space="preserve">Vedant Milindra Raut </v>
      </c>
      <c r="F151" s="11">
        <f ca="1">IFERROR(__xludf.DUMMYFUNCTION("""COMPUTED_VALUE"""),7021025958)</f>
        <v>7021025958</v>
      </c>
      <c r="G151" s="11" t="str">
        <f ca="1">IFERROR(__xludf.DUMMYFUNCTION("""COMPUTED_VALUE"""),"Second Year (Graduation Year of Passing:- 2029)")</f>
        <v>Second Year (Graduation Year of Passing:- 2029)</v>
      </c>
      <c r="H151" s="79" t="str">
        <f ca="1">IFERROR(__xludf.DUMMYFUNCTION("""COMPUTED_VALUE"""),"ECS")</f>
        <v>ECS</v>
      </c>
      <c r="I151" s="11" t="str">
        <f ca="1">IFERROR(__xludf.DUMMYFUNCTION("""COMPUTED_VALUE"""),"Complete C2C (Aptitude + Soft Skills + Technical) training - Rs 3500/-")</f>
        <v>Complete C2C (Aptitude + Soft Skills + Technical) training - Rs 3500/-</v>
      </c>
      <c r="J151" s="35" t="str">
        <f ca="1">IFERROR(__xludf.DUMMYFUNCTION("""COMPUTED_VALUE"""),"https://drive.google.com/open?id=1kyGkKvB_4BUtjziinsqjcQ2kPTYXyiIl")</f>
        <v>https://drive.google.com/open?id=1kyGkKvB_4BUtjziinsqjcQ2kPTYXyiIl</v>
      </c>
      <c r="K151" s="80">
        <v>3500</v>
      </c>
      <c r="L151" s="64" t="s">
        <v>429</v>
      </c>
      <c r="M151" s="76" t="s">
        <v>101</v>
      </c>
      <c r="N151" s="44" t="s">
        <v>104</v>
      </c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22.5" customHeight="1" x14ac:dyDescent="0.25">
      <c r="A152" s="29">
        <f ca="1">IFERROR(__xludf.DUMMYFUNCTION("""COMPUTED_VALUE"""),46254.9358496064)</f>
        <v>46254.935849606401</v>
      </c>
      <c r="B152" s="11" t="str">
        <f ca="1">IFERROR(__xludf.DUMMYFUNCTION("""COMPUTED_VALUE"""),"vu3f2526091@pvppcoe.ac.in")</f>
        <v>vu3f2526091@pvppcoe.ac.in</v>
      </c>
      <c r="C152" s="11" t="str">
        <f ca="1">IFERROR(__xludf.DUMMYFUNCTION("""COMPUTED_VALUE"""),"VU3F2526091")</f>
        <v>VU3F2526091</v>
      </c>
      <c r="D152" s="11" t="str">
        <f ca="1">IFERROR(__xludf.DUMMYFUNCTION("""COMPUTED_VALUE"""),"vu3f2526091@pvppcoe.ac.in")</f>
        <v>vu3f2526091@pvppcoe.ac.in</v>
      </c>
      <c r="E152" s="11" t="str">
        <f ca="1">IFERROR(__xludf.DUMMYFUNCTION("""COMPUTED_VALUE"""),"Salunkhe Sidhesh")</f>
        <v>Salunkhe Sidhesh</v>
      </c>
      <c r="F152" s="11">
        <f ca="1">IFERROR(__xludf.DUMMYFUNCTION("""COMPUTED_VALUE"""),8591915445)</f>
        <v>8591915445</v>
      </c>
      <c r="G152" s="11" t="str">
        <f ca="1">IFERROR(__xludf.DUMMYFUNCTION("""COMPUTED_VALUE"""),"Second Year (Graduation Year of Passing:- 2029)")</f>
        <v>Second Year (Graduation Year of Passing:- 2029)</v>
      </c>
      <c r="H152" s="79" t="str">
        <f ca="1">IFERROR(__xludf.DUMMYFUNCTION("""COMPUTED_VALUE"""),"ECS")</f>
        <v>ECS</v>
      </c>
      <c r="I152" s="11" t="str">
        <f ca="1">IFERROR(__xludf.DUMMYFUNCTION("""COMPUTED_VALUE"""),"Complete C2C (Aptitude + Soft Skills + Technical) training - Rs 3500/-")</f>
        <v>Complete C2C (Aptitude + Soft Skills + Technical) training - Rs 3500/-</v>
      </c>
      <c r="J152" s="35" t="str">
        <f ca="1">IFERROR(__xludf.DUMMYFUNCTION("""COMPUTED_VALUE"""),"https://drive.google.com/open?id=1On3g703iUg4PiF85efZmoF2-ZASmP06d")</f>
        <v>https://drive.google.com/open?id=1On3g703iUg4PiF85efZmoF2-ZASmP06d</v>
      </c>
      <c r="K152" s="81">
        <v>3500</v>
      </c>
      <c r="L152" s="64" t="s">
        <v>429</v>
      </c>
      <c r="M152" s="76" t="s">
        <v>101</v>
      </c>
      <c r="N152" s="44" t="s">
        <v>104</v>
      </c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22.5" customHeight="1" x14ac:dyDescent="0.25">
      <c r="A153" s="29">
        <f ca="1">IFERROR(__xludf.DUMMYFUNCTION("""COMPUTED_VALUE"""),46254.9650878819)</f>
        <v>46254.965087881901</v>
      </c>
      <c r="B153" s="11" t="str">
        <f ca="1">IFERROR(__xludf.DUMMYFUNCTION("""COMPUTED_VALUE"""),"vu1f2526022@pvppcoe.ac.in")</f>
        <v>vu1f2526022@pvppcoe.ac.in</v>
      </c>
      <c r="C153" s="11" t="str">
        <f ca="1">IFERROR(__xludf.DUMMYFUNCTION("""COMPUTED_VALUE"""),"VU1F2526022")</f>
        <v>VU1F2526022</v>
      </c>
      <c r="D153" s="11" t="str">
        <f ca="1">IFERROR(__xludf.DUMMYFUNCTION("""COMPUTED_VALUE"""),"vu1f2526022@pvppcoe.ac.in")</f>
        <v>vu1f2526022@pvppcoe.ac.in</v>
      </c>
      <c r="E153" s="11" t="str">
        <f ca="1">IFERROR(__xludf.DUMMYFUNCTION("""COMPUTED_VALUE"""),"Siddiqui Abdul Rahim")</f>
        <v>Siddiqui Abdul Rahim</v>
      </c>
      <c r="F153" s="11">
        <f ca="1">IFERROR(__xludf.DUMMYFUNCTION("""COMPUTED_VALUE"""),8104852325)</f>
        <v>8104852325</v>
      </c>
      <c r="G153" s="11" t="str">
        <f ca="1">IFERROR(__xludf.DUMMYFUNCTION("""COMPUTED_VALUE"""),"Second Year (Graduation Year of Passing:- 2029)")</f>
        <v>Second Year (Graduation Year of Passing:- 2029)</v>
      </c>
      <c r="H153" s="79" t="str">
        <f ca="1">IFERROR(__xludf.DUMMYFUNCTION("""COMPUTED_VALUE"""),"CS")</f>
        <v>CS</v>
      </c>
      <c r="I153" s="11" t="str">
        <f ca="1">IFERROR(__xludf.DUMMYFUNCTION("""COMPUTED_VALUE"""),"Complete C2C (Aptitude + Soft Skills + Technical) training - Rs 3500/-")</f>
        <v>Complete C2C (Aptitude + Soft Skills + Technical) training - Rs 3500/-</v>
      </c>
      <c r="J153" s="35" t="str">
        <f ca="1">IFERROR(__xludf.DUMMYFUNCTION("""COMPUTED_VALUE"""),"https://drive.google.com/open?id=13iO1cB5GN400nNbpre7O4N3GLVXAF-Z2")</f>
        <v>https://drive.google.com/open?id=13iO1cB5GN400nNbpre7O4N3GLVXAF-Z2</v>
      </c>
      <c r="K153" s="81">
        <v>3500</v>
      </c>
      <c r="L153" s="64" t="s">
        <v>429</v>
      </c>
      <c r="M153" s="76" t="s">
        <v>101</v>
      </c>
      <c r="N153" s="44" t="s">
        <v>104</v>
      </c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22.5" customHeight="1" x14ac:dyDescent="0.25">
      <c r="A154" s="29">
        <f ca="1">IFERROR(__xludf.DUMMYFUNCTION("""COMPUTED_VALUE"""),46254.9798620601)</f>
        <v>46254.9798620601</v>
      </c>
      <c r="B154" s="11" t="str">
        <f ca="1">IFERROR(__xludf.DUMMYFUNCTION("""COMPUTED_VALUE"""),"vu3f2526050@pvppcoe.ac.in")</f>
        <v>vu3f2526050@pvppcoe.ac.in</v>
      </c>
      <c r="C154" s="11" t="str">
        <f ca="1">IFERROR(__xludf.DUMMYFUNCTION("""COMPUTED_VALUE"""),"VU3F2526050 ")</f>
        <v xml:space="preserve">VU3F2526050 </v>
      </c>
      <c r="D154" s="11" t="str">
        <f ca="1">IFERROR(__xludf.DUMMYFUNCTION("""COMPUTED_VALUE"""),"vu3f2526050@pvppcoe.ac.in")</f>
        <v>vu3f2526050@pvppcoe.ac.in</v>
      </c>
      <c r="E154" s="11" t="str">
        <f ca="1">IFERROR(__xludf.DUMMYFUNCTION("""COMPUTED_VALUE"""),"Firfire Sadaf Khalid")</f>
        <v>Firfire Sadaf Khalid</v>
      </c>
      <c r="F154" s="11">
        <f ca="1">IFERROR(__xludf.DUMMYFUNCTION("""COMPUTED_VALUE"""),9421167547)</f>
        <v>9421167547</v>
      </c>
      <c r="G154" s="11" t="str">
        <f ca="1">IFERROR(__xludf.DUMMYFUNCTION("""COMPUTED_VALUE"""),"Second Year (Graduation Year of Passing:- 2029)")</f>
        <v>Second Year (Graduation Year of Passing:- 2029)</v>
      </c>
      <c r="H154" s="79" t="str">
        <f ca="1">IFERROR(__xludf.DUMMYFUNCTION("""COMPUTED_VALUE"""),"ECS")</f>
        <v>ECS</v>
      </c>
      <c r="I154" s="11" t="str">
        <f ca="1">IFERROR(__xludf.DUMMYFUNCTION("""COMPUTED_VALUE"""),"Complete C2C (Aptitude + Soft Skills + Technical) training - Rs 3500/-")</f>
        <v>Complete C2C (Aptitude + Soft Skills + Technical) training - Rs 3500/-</v>
      </c>
      <c r="J154" s="35" t="str">
        <f ca="1">IFERROR(__xludf.DUMMYFUNCTION("""COMPUTED_VALUE"""),"https://drive.google.com/open?id=1diQ9m3vBOmueAkeMvkUlQcJ-8rcWpUMb")</f>
        <v>https://drive.google.com/open?id=1diQ9m3vBOmueAkeMvkUlQcJ-8rcWpUMb</v>
      </c>
      <c r="K154" s="81">
        <v>3500</v>
      </c>
      <c r="L154" s="64" t="s">
        <v>429</v>
      </c>
      <c r="M154" s="76" t="s">
        <v>101</v>
      </c>
      <c r="N154" s="44" t="s">
        <v>104</v>
      </c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22.5" customHeight="1" x14ac:dyDescent="0.25">
      <c r="A155" s="29">
        <f ca="1">IFERROR(__xludf.DUMMYFUNCTION("""COMPUTED_VALUE"""),46254.9819152199)</f>
        <v>46254.981915219898</v>
      </c>
      <c r="B155" s="11" t="str">
        <f ca="1">IFERROR(__xludf.DUMMYFUNCTION("""COMPUTED_VALUE"""),"vu2f2526076@pvppcoe.ac.in")</f>
        <v>vu2f2526076@pvppcoe.ac.in</v>
      </c>
      <c r="C155" s="11" t="str">
        <f ca="1">IFERROR(__xludf.DUMMYFUNCTION("""COMPUTED_VALUE"""),"VU2F2526076")</f>
        <v>VU2F2526076</v>
      </c>
      <c r="D155" s="11" t="str">
        <f ca="1">IFERROR(__xludf.DUMMYFUNCTION("""COMPUTED_VALUE"""),"vu2f2526076@pvppcoe.ac.in")</f>
        <v>vu2f2526076@pvppcoe.ac.in</v>
      </c>
      <c r="E155" s="11" t="str">
        <f ca="1">IFERROR(__xludf.DUMMYFUNCTION("""COMPUTED_VALUE"""),"Chinthakindi Varshini Chandrashekar")</f>
        <v>Chinthakindi Varshini Chandrashekar</v>
      </c>
      <c r="F155" s="11">
        <f ca="1">IFERROR(__xludf.DUMMYFUNCTION("""COMPUTED_VALUE"""),7045381682)</f>
        <v>7045381682</v>
      </c>
      <c r="G155" s="11" t="str">
        <f ca="1">IFERROR(__xludf.DUMMYFUNCTION("""COMPUTED_VALUE"""),"Second Year (Graduation Year of Passing:- 2029)")</f>
        <v>Second Year (Graduation Year of Passing:- 2029)</v>
      </c>
      <c r="H155" s="79" t="str">
        <f ca="1">IFERROR(__xludf.DUMMYFUNCTION("""COMPUTED_VALUE"""),"AI &amp; ML")</f>
        <v>AI &amp; ML</v>
      </c>
      <c r="I155" s="11" t="str">
        <f ca="1">IFERROR(__xludf.DUMMYFUNCTION("""COMPUTED_VALUE"""),"Complete C2C (Aptitude + Soft Skills + Technical) training - Rs 3500/-")</f>
        <v>Complete C2C (Aptitude + Soft Skills + Technical) training - Rs 3500/-</v>
      </c>
      <c r="J155" s="35" t="str">
        <f ca="1">IFERROR(__xludf.DUMMYFUNCTION("""COMPUTED_VALUE"""),"https://drive.google.com/open?id=1R-58PLLsaxImXTZWqNxoX8YvfDLEiVsA")</f>
        <v>https://drive.google.com/open?id=1R-58PLLsaxImXTZWqNxoX8YvfDLEiVsA</v>
      </c>
      <c r="K155" s="81">
        <v>3500</v>
      </c>
      <c r="L155" s="64" t="s">
        <v>429</v>
      </c>
      <c r="M155" s="76" t="s">
        <v>101</v>
      </c>
      <c r="N155" s="44" t="s">
        <v>104</v>
      </c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22.5" customHeight="1" x14ac:dyDescent="0.25">
      <c r="A156" s="29">
        <f ca="1">IFERROR(__xludf.DUMMYFUNCTION("""COMPUTED_VALUE"""),46255.0012574421)</f>
        <v>46255.001257442098</v>
      </c>
      <c r="B156" s="11" t="str">
        <f ca="1">IFERROR(__xludf.DUMMYFUNCTION("""COMPUTED_VALUE"""),"kaustubhhire84@gmail.com")</f>
        <v>kaustubhhire84@gmail.com</v>
      </c>
      <c r="C156" s="11" t="str">
        <f ca="1">IFERROR(__xludf.DUMMYFUNCTION("""COMPUTED_VALUE"""),"VU3S2627005")</f>
        <v>VU3S2627005</v>
      </c>
      <c r="D156" s="11" t="str">
        <f ca="1">IFERROR(__xludf.DUMMYFUNCTION("""COMPUTED_VALUE"""),"kaustubhhire84@gmail.com")</f>
        <v>kaustubhhire84@gmail.com</v>
      </c>
      <c r="E156" s="11" t="str">
        <f ca="1">IFERROR(__xludf.DUMMYFUNCTION("""COMPUTED_VALUE"""),"Kaustubh Sanjay Hire ")</f>
        <v xml:space="preserve">Kaustubh Sanjay Hire </v>
      </c>
      <c r="F156" s="11">
        <f ca="1">IFERROR(__xludf.DUMMYFUNCTION("""COMPUTED_VALUE"""),7039376721)</f>
        <v>7039376721</v>
      </c>
      <c r="G156" s="11" t="str">
        <f ca="1">IFERROR(__xludf.DUMMYFUNCTION("""COMPUTED_VALUE"""),"Second Year (Graduation Year of Passing:- 2029)")</f>
        <v>Second Year (Graduation Year of Passing:- 2029)</v>
      </c>
      <c r="H156" s="79" t="str">
        <f ca="1">IFERROR(__xludf.DUMMYFUNCTION("""COMPUTED_VALUE"""),"ECS")</f>
        <v>ECS</v>
      </c>
      <c r="I156" s="11" t="str">
        <f ca="1">IFERROR(__xludf.DUMMYFUNCTION("""COMPUTED_VALUE"""),"Complete C2C (Aptitude + Soft Skills + Technical) training - Rs 3500/-")</f>
        <v>Complete C2C (Aptitude + Soft Skills + Technical) training - Rs 3500/-</v>
      </c>
      <c r="J156" s="35" t="str">
        <f ca="1">IFERROR(__xludf.DUMMYFUNCTION("""COMPUTED_VALUE"""),"https://drive.google.com/open?id=16QP9atmtYBuFhqSQvBlBEk0DWtoLD9k9")</f>
        <v>https://drive.google.com/open?id=16QP9atmtYBuFhqSQvBlBEk0DWtoLD9k9</v>
      </c>
      <c r="K156" s="81">
        <v>3500</v>
      </c>
      <c r="L156" s="64" t="s">
        <v>429</v>
      </c>
      <c r="M156" s="76" t="s">
        <v>101</v>
      </c>
      <c r="N156" s="44" t="s">
        <v>104</v>
      </c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22.5" customHeight="1" x14ac:dyDescent="0.25">
      <c r="A157" s="29">
        <f ca="1">IFERROR(__xludf.DUMMYFUNCTION("""COMPUTED_VALUE"""),46258.8120867592)</f>
        <v>46258.812086759201</v>
      </c>
      <c r="B157" s="11" t="str">
        <f ca="1">IFERROR(__xludf.DUMMYFUNCTION("""COMPUTED_VALUE"""),"vu3f2526104@pvppcoe.ac.in")</f>
        <v>vu3f2526104@pvppcoe.ac.in</v>
      </c>
      <c r="C157" s="11" t="str">
        <f ca="1">IFERROR(__xludf.DUMMYFUNCTION("""COMPUTED_VALUE"""),"VU3F2526104")</f>
        <v>VU3F2526104</v>
      </c>
      <c r="D157" s="11" t="str">
        <f ca="1">IFERROR(__xludf.DUMMYFUNCTION("""COMPUTED_VALUE"""),"vu3f2526104@pvppcoe.ac.in")</f>
        <v>vu3f2526104@pvppcoe.ac.in</v>
      </c>
      <c r="E157" s="11" t="str">
        <f ca="1">IFERROR(__xludf.DUMMYFUNCTION("""COMPUTED_VALUE"""),"Lad Saish Sunil")</f>
        <v>Lad Saish Sunil</v>
      </c>
      <c r="F157" s="11">
        <f ca="1">IFERROR(__xludf.DUMMYFUNCTION("""COMPUTED_VALUE"""),9372740126)</f>
        <v>9372740126</v>
      </c>
      <c r="G157" s="11" t="str">
        <f ca="1">IFERROR(__xludf.DUMMYFUNCTION("""COMPUTED_VALUE"""),"Second Year (Graduation Year of Passing:- 2029)")</f>
        <v>Second Year (Graduation Year of Passing:- 2029)</v>
      </c>
      <c r="H157" s="79" t="str">
        <f ca="1">IFERROR(__xludf.DUMMYFUNCTION("""COMPUTED_VALUE"""),"ECS")</f>
        <v>ECS</v>
      </c>
      <c r="I157" s="11" t="str">
        <f ca="1">IFERROR(__xludf.DUMMYFUNCTION("""COMPUTED_VALUE"""),"Complete C2C (Aptitude + Soft Skills + Technical) training - Rs 3500/-")</f>
        <v>Complete C2C (Aptitude + Soft Skills + Technical) training - Rs 3500/-</v>
      </c>
      <c r="J157" s="35" t="str">
        <f ca="1">IFERROR(__xludf.DUMMYFUNCTION("""COMPUTED_VALUE"""),"https://drive.google.com/open?id=1FL0yvFxZSsO7GvY6VOY7s74WJjvP5jaS")</f>
        <v>https://drive.google.com/open?id=1FL0yvFxZSsO7GvY6VOY7s74WJjvP5jaS</v>
      </c>
      <c r="K157" s="80">
        <v>3500</v>
      </c>
      <c r="L157" s="64" t="s">
        <v>429</v>
      </c>
      <c r="M157" s="76" t="s">
        <v>101</v>
      </c>
      <c r="N157" s="44" t="s">
        <v>104</v>
      </c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22.5" customHeight="1" x14ac:dyDescent="0.25">
      <c r="A158" s="29">
        <f ca="1">IFERROR(__xludf.DUMMYFUNCTION("""COMPUTED_VALUE"""),46259.5713877546)</f>
        <v>46259.5713877546</v>
      </c>
      <c r="B158" s="11" t="str">
        <f ca="1">IFERROR(__xludf.DUMMYFUNCTION("""COMPUTED_VALUE"""),"vu1f2526146@pvppcoe.ac.in")</f>
        <v>vu1f2526146@pvppcoe.ac.in</v>
      </c>
      <c r="C158" s="11" t="str">
        <f ca="1">IFERROR(__xludf.DUMMYFUNCTION("""COMPUTED_VALUE"""),"VU1F2526146")</f>
        <v>VU1F2526146</v>
      </c>
      <c r="D158" s="11" t="str">
        <f ca="1">IFERROR(__xludf.DUMMYFUNCTION("""COMPUTED_VALUE"""),"vu1f2526146@pvppcoe.ac.in")</f>
        <v>vu1f2526146@pvppcoe.ac.in</v>
      </c>
      <c r="E158" s="11" t="str">
        <f ca="1">IFERROR(__xludf.DUMMYFUNCTION("""COMPUTED_VALUE"""),"Bhosale Gaurav Santosh")</f>
        <v>Bhosale Gaurav Santosh</v>
      </c>
      <c r="F158" s="11">
        <f ca="1">IFERROR(__xludf.DUMMYFUNCTION("""COMPUTED_VALUE"""),7977256070)</f>
        <v>7977256070</v>
      </c>
      <c r="G158" s="11" t="str">
        <f ca="1">IFERROR(__xludf.DUMMYFUNCTION("""COMPUTED_VALUE"""),"Second Year (Graduation Year of Passing:- 2029)")</f>
        <v>Second Year (Graduation Year of Passing:- 2029)</v>
      </c>
      <c r="H158" s="79" t="str">
        <f ca="1">IFERROR(__xludf.DUMMYFUNCTION("""COMPUTED_VALUE"""),"CS")</f>
        <v>CS</v>
      </c>
      <c r="I158" s="11" t="str">
        <f ca="1">IFERROR(__xludf.DUMMYFUNCTION("""COMPUTED_VALUE"""),"Complete C2C (Aptitude + Soft Skills + Technical) training - Rs 3500/-")</f>
        <v>Complete C2C (Aptitude + Soft Skills + Technical) training - Rs 3500/-</v>
      </c>
      <c r="J158" s="35" t="str">
        <f ca="1">IFERROR(__xludf.DUMMYFUNCTION("""COMPUTED_VALUE"""),"https://drive.google.com/open?id=10fbbloQj-Ax3tjFki7w2n026a0SbosA1")</f>
        <v>https://drive.google.com/open?id=10fbbloQj-Ax3tjFki7w2n026a0SbosA1</v>
      </c>
      <c r="K158" s="81">
        <v>3500</v>
      </c>
      <c r="L158" s="64" t="s">
        <v>429</v>
      </c>
      <c r="M158" s="76" t="s">
        <v>101</v>
      </c>
      <c r="N158" s="37" t="s">
        <v>104</v>
      </c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22.5" customHeight="1" x14ac:dyDescent="0.25">
      <c r="A159" s="29">
        <f ca="1">IFERROR(__xludf.DUMMYFUNCTION("""COMPUTED_VALUE"""),46259.766947118)</f>
        <v>46259.766947117998</v>
      </c>
      <c r="B159" s="11" t="str">
        <f ca="1">IFERROR(__xludf.DUMMYFUNCTION("""COMPUTED_VALUE"""),"vu1f2526110@pvppcoe.ac.in")</f>
        <v>vu1f2526110@pvppcoe.ac.in</v>
      </c>
      <c r="C159" s="11" t="str">
        <f ca="1">IFERROR(__xludf.DUMMYFUNCTION("""COMPUTED_VALUE"""),"VU1F2526110")</f>
        <v>VU1F2526110</v>
      </c>
      <c r="D159" s="11" t="str">
        <f ca="1">IFERROR(__xludf.DUMMYFUNCTION("""COMPUTED_VALUE"""),"vu1f2526110@pvppcoe.ac.in")</f>
        <v>vu1f2526110@pvppcoe.ac.in</v>
      </c>
      <c r="E159" s="11" t="str">
        <f ca="1">IFERROR(__xludf.DUMMYFUNCTION("""COMPUTED_VALUE"""),"Gupta Rishika")</f>
        <v>Gupta Rishika</v>
      </c>
      <c r="F159" s="11">
        <f ca="1">IFERROR(__xludf.DUMMYFUNCTION("""COMPUTED_VALUE"""),8369739966)</f>
        <v>8369739966</v>
      </c>
      <c r="G159" s="11" t="str">
        <f ca="1">IFERROR(__xludf.DUMMYFUNCTION("""COMPUTED_VALUE"""),"Second Year (Graduation Year of Passing:- 2029)")</f>
        <v>Second Year (Graduation Year of Passing:- 2029)</v>
      </c>
      <c r="H159" s="79" t="str">
        <f ca="1">IFERROR(__xludf.DUMMYFUNCTION("""COMPUTED_VALUE"""),"CS")</f>
        <v>CS</v>
      </c>
      <c r="I159" s="11" t="str">
        <f ca="1">IFERROR(__xludf.DUMMYFUNCTION("""COMPUTED_VALUE"""),"Complete C2C (Aptitude + Soft Skills + Technical) training - Rs 3500/-")</f>
        <v>Complete C2C (Aptitude + Soft Skills + Technical) training - Rs 3500/-</v>
      </c>
      <c r="J159" s="35" t="str">
        <f ca="1">IFERROR(__xludf.DUMMYFUNCTION("""COMPUTED_VALUE"""),"https://drive.google.com/open?id=1Mpql7QpT8C-QiI5g7EMh6ovZCdqDpxDe")</f>
        <v>https://drive.google.com/open?id=1Mpql7QpT8C-QiI5g7EMh6ovZCdqDpxDe</v>
      </c>
      <c r="K159" s="80">
        <v>3500</v>
      </c>
      <c r="L159" s="64" t="s">
        <v>429</v>
      </c>
      <c r="M159" s="76" t="s">
        <v>101</v>
      </c>
      <c r="N159" s="44" t="s">
        <v>104</v>
      </c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22.5" customHeight="1" x14ac:dyDescent="0.25">
      <c r="A160" s="29">
        <f ca="1">IFERROR(__xludf.DUMMYFUNCTION("""COMPUTED_VALUE"""),46261.9142454513)</f>
        <v>46261.914245451298</v>
      </c>
      <c r="B160" s="11" t="str">
        <f ca="1">IFERROR(__xludf.DUMMYFUNCTION("""COMPUTED_VALUE"""),"vu3f2526033@pvppcoe.ac.in")</f>
        <v>vu3f2526033@pvppcoe.ac.in</v>
      </c>
      <c r="C160" s="11" t="str">
        <f ca="1">IFERROR(__xludf.DUMMYFUNCTION("""COMPUTED_VALUE"""),"VU3F2526033 ")</f>
        <v xml:space="preserve">VU3F2526033 </v>
      </c>
      <c r="D160" s="11" t="str">
        <f ca="1">IFERROR(__xludf.DUMMYFUNCTION("""COMPUTED_VALUE"""),"vu3f2526033@pvppcoe.ac.in")</f>
        <v>vu3f2526033@pvppcoe.ac.in</v>
      </c>
      <c r="E160" s="11" t="str">
        <f ca="1">IFERROR(__xludf.DUMMYFUNCTION("""COMPUTED_VALUE"""),"MOHITE ARYAN RAJENDRA ")</f>
        <v xml:space="preserve">MOHITE ARYAN RAJENDRA </v>
      </c>
      <c r="F160" s="11">
        <f ca="1">IFERROR(__xludf.DUMMYFUNCTION("""COMPUTED_VALUE"""),8928864761)</f>
        <v>8928864761</v>
      </c>
      <c r="G160" s="11" t="str">
        <f ca="1">IFERROR(__xludf.DUMMYFUNCTION("""COMPUTED_VALUE"""),"Second Year (Graduation Year of Passing:- 2029)")</f>
        <v>Second Year (Graduation Year of Passing:- 2029)</v>
      </c>
      <c r="H160" s="79" t="str">
        <f ca="1">IFERROR(__xludf.DUMMYFUNCTION("""COMPUTED_VALUE"""),"ECS")</f>
        <v>ECS</v>
      </c>
      <c r="I160" s="11" t="str">
        <f ca="1">IFERROR(__xludf.DUMMYFUNCTION("""COMPUTED_VALUE"""),"Complete C2C (Aptitude + Soft Skills + Technical) training - Rs 3500/-")</f>
        <v>Complete C2C (Aptitude + Soft Skills + Technical) training - Rs 3500/-</v>
      </c>
      <c r="J160" s="35" t="str">
        <f ca="1">IFERROR(__xludf.DUMMYFUNCTION("""COMPUTED_VALUE"""),"https://drive.google.com/open?id=1__aIX5vdBwhak4bgA7EuKIgLFAilItva")</f>
        <v>https://drive.google.com/open?id=1__aIX5vdBwhak4bgA7EuKIgLFAilItva</v>
      </c>
      <c r="K160" s="81">
        <v>3500</v>
      </c>
      <c r="L160" s="64" t="s">
        <v>429</v>
      </c>
      <c r="M160" s="76" t="s">
        <v>101</v>
      </c>
      <c r="N160" s="44" t="s">
        <v>104</v>
      </c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22.5" customHeight="1" x14ac:dyDescent="0.25">
      <c r="A161" s="29">
        <f ca="1">IFERROR(__xludf.DUMMYFUNCTION("""COMPUTED_VALUE"""),46267.811999537)</f>
        <v>46267.811999537</v>
      </c>
      <c r="B161" s="11" t="str">
        <f ca="1">IFERROR(__xludf.DUMMYFUNCTION("""COMPUTED_VALUE"""),"vu3f2526031@pvppcoe.ac.in")</f>
        <v>vu3f2526031@pvppcoe.ac.in</v>
      </c>
      <c r="C161" s="11" t="str">
        <f ca="1">IFERROR(__xludf.DUMMYFUNCTION("""COMPUTED_VALUE"""),"VU3S1T2526031")</f>
        <v>VU3S1T2526031</v>
      </c>
      <c r="D161" s="11" t="str">
        <f ca="1">IFERROR(__xludf.DUMMYFUNCTION("""COMPUTED_VALUE"""),"vu3f2526031@pvppcoe.ac.in")</f>
        <v>vu3f2526031@pvppcoe.ac.in</v>
      </c>
      <c r="E161" s="11" t="str">
        <f ca="1">IFERROR(__xludf.DUMMYFUNCTION("""COMPUTED_VALUE"""),"SHELAR ANUSHKA PRAVIN ")</f>
        <v xml:space="preserve">SHELAR ANUSHKA PRAVIN </v>
      </c>
      <c r="F161" s="11">
        <f ca="1">IFERROR(__xludf.DUMMYFUNCTION("""COMPUTED_VALUE"""),9769197130)</f>
        <v>9769197130</v>
      </c>
      <c r="G161" s="11" t="str">
        <f ca="1">IFERROR(__xludf.DUMMYFUNCTION("""COMPUTED_VALUE"""),"Second Year (Graduation Year of Passing:- 2029)")</f>
        <v>Second Year (Graduation Year of Passing:- 2029)</v>
      </c>
      <c r="H161" s="79" t="str">
        <f ca="1">IFERROR(__xludf.DUMMYFUNCTION("""COMPUTED_VALUE"""),"CS")</f>
        <v>CS</v>
      </c>
      <c r="I161" s="11" t="str">
        <f ca="1">IFERROR(__xludf.DUMMYFUNCTION("""COMPUTED_VALUE"""),"Complete C2C (Aptitude + Soft Skills + Technical) training - Rs 3500/-")</f>
        <v>Complete C2C (Aptitude + Soft Skills + Technical) training - Rs 3500/-</v>
      </c>
      <c r="J161" s="35" t="str">
        <f ca="1">IFERROR(__xludf.DUMMYFUNCTION("""COMPUTED_VALUE"""),"https://drive.google.com/open?id=1hbnz11YBXi5g1EIfz6Mh67BgnOcTBTEs")</f>
        <v>https://drive.google.com/open?id=1hbnz11YBXi5g1EIfz6Mh67BgnOcTBTEs</v>
      </c>
      <c r="K161" s="80">
        <v>3500</v>
      </c>
      <c r="L161" s="64" t="s">
        <v>429</v>
      </c>
      <c r="M161" s="76" t="s">
        <v>101</v>
      </c>
      <c r="N161" s="44" t="s">
        <v>104</v>
      </c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22.5" customHeight="1" x14ac:dyDescent="0.25">
      <c r="A162" s="29">
        <f ca="1">IFERROR(__xludf.DUMMYFUNCTION("""COMPUTED_VALUE"""),46267.9381953356)</f>
        <v>46267.938195335599</v>
      </c>
      <c r="B162" s="11" t="str">
        <f ca="1">IFERROR(__xludf.DUMMYFUNCTION("""COMPUTED_VALUE"""),"vu3f2526059@pvppcoe.ac.in")</f>
        <v>vu3f2526059@pvppcoe.ac.in</v>
      </c>
      <c r="C162" s="11" t="str">
        <f ca="1">IFERROR(__xludf.DUMMYFUNCTION("""COMPUTED_VALUE"""),"VU3S1T2526059")</f>
        <v>VU3S1T2526059</v>
      </c>
      <c r="D162" s="11" t="str">
        <f ca="1">IFERROR(__xludf.DUMMYFUNCTION("""COMPUTED_VALUE"""),"vu3f2526059@pvppcoe.ac.in")</f>
        <v>vu3f2526059@pvppcoe.ac.in</v>
      </c>
      <c r="E162" s="11" t="str">
        <f ca="1">IFERROR(__xludf.DUMMYFUNCTION("""COMPUTED_VALUE"""),"Shaikh Rufiya Ameer ")</f>
        <v xml:space="preserve">Shaikh Rufiya Ameer </v>
      </c>
      <c r="F162" s="11">
        <f ca="1">IFERROR(__xludf.DUMMYFUNCTION("""COMPUTED_VALUE"""),9136134339)</f>
        <v>9136134339</v>
      </c>
      <c r="G162" s="11" t="str">
        <f ca="1">IFERROR(__xludf.DUMMYFUNCTION("""COMPUTED_VALUE"""),"Second Year (Graduation Year of Passing:- 2029)")</f>
        <v>Second Year (Graduation Year of Passing:- 2029)</v>
      </c>
      <c r="H162" s="79" t="str">
        <f ca="1">IFERROR(__xludf.DUMMYFUNCTION("""COMPUTED_VALUE"""),"CS")</f>
        <v>CS</v>
      </c>
      <c r="I162" s="11" t="str">
        <f ca="1">IFERROR(__xludf.DUMMYFUNCTION("""COMPUTED_VALUE"""),"Complete C2C (Aptitude + Soft Skills + Technical) training - Rs 3500/-")</f>
        <v>Complete C2C (Aptitude + Soft Skills + Technical) training - Rs 3500/-</v>
      </c>
      <c r="J162" s="35" t="str">
        <f ca="1">IFERROR(__xludf.DUMMYFUNCTION("""COMPUTED_VALUE"""),"https://drive.google.com/open?id=1JZgRRpPTHbdVOz1ZoG71ESfFm0xSpn_L")</f>
        <v>https://drive.google.com/open?id=1JZgRRpPTHbdVOz1ZoG71ESfFm0xSpn_L</v>
      </c>
      <c r="K162" s="81">
        <v>3500</v>
      </c>
      <c r="L162" s="64" t="s">
        <v>429</v>
      </c>
      <c r="M162" s="76" t="s">
        <v>101</v>
      </c>
      <c r="N162" s="44" t="s">
        <v>104</v>
      </c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22.5" customHeight="1" x14ac:dyDescent="0.25">
      <c r="A163" s="29">
        <f ca="1">IFERROR(__xludf.DUMMYFUNCTION("""COMPUTED_VALUE"""),46271.7291060185)</f>
        <v>46271.729106018502</v>
      </c>
      <c r="B163" s="11" t="str">
        <f ca="1">IFERROR(__xludf.DUMMYFUNCTION("""COMPUTED_VALUE"""),"vu4f2526117@pvppcoe.ac.in")</f>
        <v>vu4f2526117@pvppcoe.ac.in</v>
      </c>
      <c r="C163" s="11" t="str">
        <f ca="1">IFERROR(__xludf.DUMMYFUNCTION("""COMPUTED_VALUE"""),"VU4F2526117 ")</f>
        <v xml:space="preserve">VU4F2526117 </v>
      </c>
      <c r="D163" s="11" t="str">
        <f ca="1">IFERROR(__xludf.DUMMYFUNCTION("""COMPUTED_VALUE"""),"vu4f2526117@pvppcoe.ac.in")</f>
        <v>vu4f2526117@pvppcoe.ac.in</v>
      </c>
      <c r="E163" s="11" t="str">
        <f ca="1">IFERROR(__xludf.DUMMYFUNCTION("""COMPUTED_VALUE"""),"Rasal Gauri Pramod ")</f>
        <v xml:space="preserve">Rasal Gauri Pramod </v>
      </c>
      <c r="F163" s="11">
        <f ca="1">IFERROR(__xludf.DUMMYFUNCTION("""COMPUTED_VALUE"""),8369751304)</f>
        <v>8369751304</v>
      </c>
      <c r="G163" s="11" t="str">
        <f ca="1">IFERROR(__xludf.DUMMYFUNCTION("""COMPUTED_VALUE"""),"Second Year (Graduation Year of Passing:- 2029)")</f>
        <v>Second Year (Graduation Year of Passing:- 2029)</v>
      </c>
      <c r="H163" s="79" t="str">
        <f ca="1">IFERROR(__xludf.DUMMYFUNCTION("""COMPUTED_VALUE"""),"IT")</f>
        <v>IT</v>
      </c>
      <c r="I163" s="11" t="str">
        <f ca="1">IFERROR(__xludf.DUMMYFUNCTION("""COMPUTED_VALUE"""),"Complete C2C (Aptitude + Soft Skills + Technical) training - Rs 3500/-")</f>
        <v>Complete C2C (Aptitude + Soft Skills + Technical) training - Rs 3500/-</v>
      </c>
      <c r="J163" s="35" t="str">
        <f ca="1">IFERROR(__xludf.DUMMYFUNCTION("""COMPUTED_VALUE"""),"https://drive.google.com/open?id=1yXB0KCdLFtQHth-ApsbWhsVyAkQu9o9E")</f>
        <v>https://drive.google.com/open?id=1yXB0KCdLFtQHth-ApsbWhsVyAkQu9o9E</v>
      </c>
      <c r="K163" s="80">
        <v>3500</v>
      </c>
      <c r="L163" s="64" t="s">
        <v>429</v>
      </c>
      <c r="M163" s="76" t="s">
        <v>101</v>
      </c>
      <c r="N163" s="44" t="s">
        <v>104</v>
      </c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22.5" customHeight="1" x14ac:dyDescent="0.25">
      <c r="A164" s="29"/>
      <c r="B164" s="11"/>
      <c r="C164" s="11"/>
      <c r="D164" s="11"/>
      <c r="E164" s="11"/>
      <c r="F164" s="11"/>
      <c r="G164" s="11"/>
      <c r="H164" s="79"/>
      <c r="I164" s="11"/>
      <c r="J164" s="11"/>
      <c r="K164" s="81"/>
      <c r="L164" s="82"/>
      <c r="M164" s="82"/>
      <c r="N164" s="37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22.5" customHeight="1" x14ac:dyDescent="0.25">
      <c r="A165" s="29"/>
      <c r="B165" s="11"/>
      <c r="C165" s="11"/>
      <c r="D165" s="11"/>
      <c r="E165" s="11"/>
      <c r="F165" s="11"/>
      <c r="G165" s="11"/>
      <c r="H165" s="79"/>
      <c r="I165" s="11"/>
      <c r="J165" s="11"/>
      <c r="K165" s="80"/>
      <c r="L165" s="83"/>
      <c r="M165" s="83"/>
      <c r="N165" s="44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22.5" customHeight="1" x14ac:dyDescent="0.25">
      <c r="A166" s="29"/>
      <c r="B166" s="11"/>
      <c r="C166" s="11"/>
      <c r="D166" s="11"/>
      <c r="E166" s="11"/>
      <c r="F166" s="11"/>
      <c r="G166" s="11"/>
      <c r="H166" s="79"/>
      <c r="I166" s="11"/>
      <c r="J166" s="11"/>
      <c r="K166" s="81"/>
      <c r="L166" s="82"/>
      <c r="M166" s="82"/>
      <c r="N166" s="37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22.5" customHeight="1" x14ac:dyDescent="0.25">
      <c r="A167" s="29"/>
      <c r="B167" s="11"/>
      <c r="C167" s="11"/>
      <c r="D167" s="11"/>
      <c r="E167" s="11"/>
      <c r="F167" s="11"/>
      <c r="G167" s="11"/>
      <c r="H167" s="79"/>
      <c r="I167" s="11"/>
      <c r="J167" s="11"/>
      <c r="K167" s="80"/>
      <c r="L167" s="83"/>
      <c r="M167" s="83"/>
      <c r="N167" s="44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22.5" customHeight="1" x14ac:dyDescent="0.25">
      <c r="A168" s="29"/>
      <c r="B168" s="11"/>
      <c r="C168" s="11"/>
      <c r="D168" s="11"/>
      <c r="E168" s="11"/>
      <c r="F168" s="11"/>
      <c r="G168" s="11"/>
      <c r="H168" s="79"/>
      <c r="I168" s="11"/>
      <c r="J168" s="11"/>
      <c r="K168" s="81"/>
      <c r="L168" s="82"/>
      <c r="M168" s="82"/>
      <c r="N168" s="37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22.5" customHeight="1" x14ac:dyDescent="0.25">
      <c r="A169" s="29"/>
      <c r="B169" s="11"/>
      <c r="C169" s="11"/>
      <c r="D169" s="11"/>
      <c r="E169" s="11"/>
      <c r="F169" s="11"/>
      <c r="G169" s="11"/>
      <c r="H169" s="79"/>
      <c r="I169" s="11"/>
      <c r="J169" s="11"/>
      <c r="K169" s="80"/>
      <c r="L169" s="83"/>
      <c r="M169" s="83"/>
      <c r="N169" s="44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22.5" customHeight="1" x14ac:dyDescent="0.25">
      <c r="A170" s="29"/>
      <c r="B170" s="11"/>
      <c r="C170" s="11"/>
      <c r="D170" s="11"/>
      <c r="E170" s="11"/>
      <c r="F170" s="11"/>
      <c r="G170" s="11"/>
      <c r="H170" s="79"/>
      <c r="I170" s="11"/>
      <c r="J170" s="11"/>
      <c r="K170" s="81"/>
      <c r="L170" s="82"/>
      <c r="M170" s="82"/>
      <c r="N170" s="37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3.2" x14ac:dyDescent="0.25">
      <c r="A171" s="29"/>
      <c r="B171" s="11"/>
      <c r="C171" s="11"/>
      <c r="D171" s="11"/>
      <c r="E171" s="11"/>
      <c r="F171" s="11"/>
      <c r="G171" s="11"/>
      <c r="H171" s="11"/>
      <c r="I171" s="11"/>
      <c r="J171" s="11"/>
      <c r="K171" s="44"/>
      <c r="L171" s="58"/>
      <c r="M171" s="58"/>
      <c r="N171" s="44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3.2" x14ac:dyDescent="0.25">
      <c r="A172" s="29"/>
      <c r="B172" s="11"/>
      <c r="C172" s="11"/>
      <c r="D172" s="11"/>
      <c r="E172" s="11"/>
      <c r="F172" s="11"/>
      <c r="G172" s="11"/>
      <c r="H172" s="11"/>
      <c r="I172" s="11"/>
      <c r="J172" s="11"/>
      <c r="K172" s="84"/>
      <c r="L172" s="57"/>
      <c r="M172" s="57"/>
      <c r="N172" s="37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3.2" x14ac:dyDescent="0.25">
      <c r="A173" s="29"/>
      <c r="B173" s="11"/>
      <c r="C173" s="11"/>
      <c r="D173" s="11"/>
      <c r="E173" s="11"/>
      <c r="F173" s="11"/>
      <c r="G173" s="11"/>
      <c r="H173" s="11"/>
      <c r="I173" s="11"/>
      <c r="J173" s="11"/>
      <c r="K173" s="44"/>
      <c r="L173" s="58"/>
      <c r="M173" s="58"/>
      <c r="N173" s="44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3.2" x14ac:dyDescent="0.25">
      <c r="A174" s="29"/>
      <c r="B174" s="11"/>
      <c r="C174" s="11"/>
      <c r="D174" s="11"/>
      <c r="E174" s="11"/>
      <c r="F174" s="11"/>
      <c r="G174" s="11"/>
      <c r="H174" s="11"/>
      <c r="I174" s="11"/>
      <c r="J174" s="11"/>
      <c r="K174" s="37"/>
      <c r="L174" s="57"/>
      <c r="M174" s="57"/>
      <c r="N174" s="37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3.2" x14ac:dyDescent="0.25">
      <c r="A175" s="29"/>
      <c r="B175" s="11"/>
      <c r="C175" s="11"/>
      <c r="D175" s="11"/>
      <c r="E175" s="11"/>
      <c r="F175" s="11"/>
      <c r="G175" s="11"/>
      <c r="H175" s="11"/>
      <c r="I175" s="11"/>
      <c r="J175" s="11"/>
      <c r="K175" s="44"/>
      <c r="L175" s="58"/>
      <c r="M175" s="58"/>
      <c r="N175" s="44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3.2" x14ac:dyDescent="0.25">
      <c r="A176" s="29"/>
      <c r="B176" s="11"/>
      <c r="C176" s="11"/>
      <c r="D176" s="11"/>
      <c r="E176" s="11"/>
      <c r="F176" s="11"/>
      <c r="G176" s="11"/>
      <c r="H176" s="11"/>
      <c r="I176" s="11"/>
      <c r="J176" s="11"/>
      <c r="K176" s="37"/>
      <c r="L176" s="57"/>
      <c r="M176" s="57"/>
      <c r="N176" s="37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3.2" x14ac:dyDescent="0.25">
      <c r="A177" s="29"/>
      <c r="B177" s="11"/>
      <c r="C177" s="11"/>
      <c r="D177" s="11"/>
      <c r="E177" s="11"/>
      <c r="F177" s="11"/>
      <c r="G177" s="11"/>
      <c r="H177" s="11"/>
      <c r="I177" s="11"/>
      <c r="J177" s="11"/>
      <c r="K177" s="44"/>
      <c r="L177" s="58"/>
      <c r="M177" s="58"/>
      <c r="N177" s="44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3.2" x14ac:dyDescent="0.25">
      <c r="A178" s="29"/>
      <c r="B178" s="11"/>
      <c r="C178" s="11"/>
      <c r="D178" s="11"/>
      <c r="E178" s="11"/>
      <c r="F178" s="11"/>
      <c r="G178" s="11"/>
      <c r="H178" s="11"/>
      <c r="I178" s="11"/>
      <c r="J178" s="11"/>
      <c r="K178" s="37"/>
      <c r="L178" s="57"/>
      <c r="M178" s="57"/>
      <c r="N178" s="37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3.2" x14ac:dyDescent="0.25">
      <c r="A179" s="29"/>
      <c r="B179" s="11"/>
      <c r="C179" s="11"/>
      <c r="D179" s="11"/>
      <c r="E179" s="11"/>
      <c r="F179" s="11"/>
      <c r="G179" s="11"/>
      <c r="H179" s="11"/>
      <c r="I179" s="11"/>
      <c r="J179" s="11"/>
      <c r="K179" s="44"/>
      <c r="L179" s="58"/>
      <c r="M179" s="58"/>
      <c r="N179" s="44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3.2" x14ac:dyDescent="0.25">
      <c r="A180" s="29"/>
      <c r="B180" s="11"/>
      <c r="C180" s="11"/>
      <c r="D180" s="11"/>
      <c r="E180" s="11"/>
      <c r="F180" s="11"/>
      <c r="G180" s="11"/>
      <c r="H180" s="11"/>
      <c r="I180" s="11"/>
      <c r="J180" s="11"/>
      <c r="K180" s="37"/>
      <c r="L180" s="57"/>
      <c r="M180" s="57"/>
      <c r="N180" s="37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3.2" x14ac:dyDescent="0.25">
      <c r="A181" s="29"/>
      <c r="B181" s="11"/>
      <c r="C181" s="11"/>
      <c r="D181" s="11"/>
      <c r="E181" s="11"/>
      <c r="F181" s="11"/>
      <c r="G181" s="11"/>
      <c r="H181" s="11"/>
      <c r="I181" s="11"/>
      <c r="J181" s="11"/>
      <c r="K181" s="44"/>
      <c r="L181" s="58"/>
      <c r="M181" s="58"/>
      <c r="N181" s="44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3.2" x14ac:dyDescent="0.25">
      <c r="A182" s="29"/>
      <c r="B182" s="11"/>
      <c r="C182" s="11"/>
      <c r="D182" s="11"/>
      <c r="E182" s="11"/>
      <c r="F182" s="11"/>
      <c r="G182" s="11"/>
      <c r="H182" s="11"/>
      <c r="I182" s="11"/>
      <c r="J182" s="11"/>
      <c r="K182" s="37"/>
      <c r="L182" s="57"/>
      <c r="M182" s="57"/>
      <c r="N182" s="37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3.2" x14ac:dyDescent="0.25">
      <c r="A183" s="29"/>
      <c r="B183" s="11"/>
      <c r="C183" s="11"/>
      <c r="D183" s="11"/>
      <c r="E183" s="11"/>
      <c r="F183" s="11"/>
      <c r="G183" s="11"/>
      <c r="H183" s="11"/>
      <c r="I183" s="11"/>
      <c r="J183" s="11"/>
      <c r="K183" s="44"/>
      <c r="L183" s="58"/>
      <c r="M183" s="58"/>
      <c r="N183" s="44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3.2" x14ac:dyDescent="0.25">
      <c r="A184" s="29"/>
      <c r="B184" s="11"/>
      <c r="C184" s="11"/>
      <c r="D184" s="11"/>
      <c r="E184" s="11"/>
      <c r="F184" s="11"/>
      <c r="G184" s="11"/>
      <c r="H184" s="11"/>
      <c r="I184" s="11"/>
      <c r="J184" s="11"/>
      <c r="K184" s="37"/>
      <c r="L184" s="57"/>
      <c r="M184" s="57"/>
      <c r="N184" s="37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3.2" x14ac:dyDescent="0.25">
      <c r="A185" s="29"/>
      <c r="B185" s="11"/>
      <c r="C185" s="11"/>
      <c r="D185" s="11"/>
      <c r="E185" s="11"/>
      <c r="F185" s="11"/>
      <c r="G185" s="11"/>
      <c r="H185" s="11"/>
      <c r="I185" s="11"/>
      <c r="J185" s="11"/>
      <c r="K185" s="44"/>
      <c r="L185" s="45"/>
      <c r="M185" s="45"/>
      <c r="N185" s="44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3.2" x14ac:dyDescent="0.25">
      <c r="A186" s="29"/>
      <c r="B186" s="11"/>
      <c r="C186" s="11"/>
      <c r="D186" s="11"/>
      <c r="E186" s="11"/>
      <c r="F186" s="11"/>
      <c r="G186" s="11"/>
      <c r="H186" s="11"/>
      <c r="I186" s="11"/>
      <c r="J186" s="11"/>
      <c r="K186" s="37"/>
      <c r="L186" s="38"/>
      <c r="M186" s="38"/>
      <c r="N186" s="37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3.2" x14ac:dyDescent="0.25">
      <c r="A187" s="29"/>
      <c r="B187" s="11"/>
      <c r="C187" s="11"/>
      <c r="D187" s="11"/>
      <c r="E187" s="11"/>
      <c r="F187" s="11"/>
      <c r="G187" s="11"/>
      <c r="H187" s="11"/>
      <c r="I187" s="11"/>
      <c r="J187" s="11"/>
      <c r="K187" s="44"/>
      <c r="L187" s="45"/>
      <c r="M187" s="45"/>
      <c r="N187" s="44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3.2" x14ac:dyDescent="0.25">
      <c r="A188" s="29"/>
      <c r="B188" s="11"/>
      <c r="C188" s="11"/>
      <c r="D188" s="11"/>
      <c r="E188" s="11"/>
      <c r="F188" s="11"/>
      <c r="G188" s="11"/>
      <c r="H188" s="11"/>
      <c r="I188" s="11"/>
      <c r="J188" s="11"/>
      <c r="K188" s="37"/>
      <c r="L188" s="38"/>
      <c r="M188" s="38"/>
      <c r="N188" s="37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3.2" x14ac:dyDescent="0.25">
      <c r="A189" s="29"/>
      <c r="B189" s="11"/>
      <c r="C189" s="11"/>
      <c r="D189" s="11"/>
      <c r="E189" s="11"/>
      <c r="F189" s="11"/>
      <c r="G189" s="11"/>
      <c r="H189" s="11"/>
      <c r="I189" s="11"/>
      <c r="J189" s="11"/>
      <c r="K189" s="44"/>
      <c r="L189" s="45"/>
      <c r="M189" s="45"/>
      <c r="N189" s="44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3.2" x14ac:dyDescent="0.25">
      <c r="A190" s="29"/>
      <c r="B190" s="11"/>
      <c r="C190" s="11"/>
      <c r="D190" s="11"/>
      <c r="E190" s="11"/>
      <c r="F190" s="11"/>
      <c r="G190" s="11"/>
      <c r="H190" s="11"/>
      <c r="I190" s="11"/>
      <c r="J190" s="11"/>
      <c r="K190" s="37"/>
      <c r="L190" s="38"/>
      <c r="M190" s="38"/>
      <c r="N190" s="37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3.2" x14ac:dyDescent="0.25">
      <c r="A191" s="29"/>
      <c r="B191" s="11"/>
      <c r="C191" s="11"/>
      <c r="D191" s="11"/>
      <c r="E191" s="11"/>
      <c r="F191" s="11"/>
      <c r="G191" s="11"/>
      <c r="H191" s="11"/>
      <c r="I191" s="11"/>
      <c r="J191" s="11"/>
      <c r="K191" s="44"/>
      <c r="L191" s="45"/>
      <c r="M191" s="45"/>
      <c r="N191" s="44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3.2" x14ac:dyDescent="0.25">
      <c r="A192" s="29"/>
      <c r="B192" s="11"/>
      <c r="C192" s="11"/>
      <c r="D192" s="11"/>
      <c r="E192" s="11"/>
      <c r="F192" s="11"/>
      <c r="G192" s="11"/>
      <c r="H192" s="11"/>
      <c r="I192" s="11"/>
      <c r="J192" s="11"/>
      <c r="K192" s="37"/>
      <c r="L192" s="57"/>
      <c r="M192" s="57"/>
      <c r="N192" s="37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3.2" x14ac:dyDescent="0.25">
      <c r="A193" s="29"/>
      <c r="B193" s="11"/>
      <c r="C193" s="11"/>
      <c r="D193" s="11"/>
      <c r="E193" s="11"/>
      <c r="F193" s="11"/>
      <c r="G193" s="11"/>
      <c r="H193" s="11"/>
      <c r="I193" s="11"/>
      <c r="J193" s="11"/>
      <c r="K193" s="44"/>
      <c r="L193" s="45"/>
      <c r="M193" s="45"/>
      <c r="N193" s="44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3.2" x14ac:dyDescent="0.25">
      <c r="A194" s="29"/>
      <c r="B194" s="11"/>
      <c r="C194" s="11"/>
      <c r="D194" s="11"/>
      <c r="E194" s="11"/>
      <c r="F194" s="11"/>
      <c r="G194" s="11"/>
      <c r="H194" s="11"/>
      <c r="I194" s="11"/>
      <c r="J194" s="11"/>
      <c r="K194" s="37"/>
      <c r="L194" s="57"/>
      <c r="M194" s="57"/>
      <c r="N194" s="37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3.2" x14ac:dyDescent="0.25">
      <c r="A195" s="29"/>
      <c r="B195" s="11"/>
      <c r="C195" s="11"/>
      <c r="D195" s="11"/>
      <c r="E195" s="11"/>
      <c r="F195" s="11"/>
      <c r="G195" s="11"/>
      <c r="H195" s="11"/>
      <c r="I195" s="11"/>
      <c r="J195" s="11"/>
      <c r="K195" s="44"/>
      <c r="L195" s="45"/>
      <c r="M195" s="45"/>
      <c r="N195" s="44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3.2" x14ac:dyDescent="0.25">
      <c r="A196" s="29"/>
      <c r="B196" s="11"/>
      <c r="C196" s="11"/>
      <c r="D196" s="11"/>
      <c r="E196" s="11"/>
      <c r="F196" s="11"/>
      <c r="G196" s="11"/>
      <c r="H196" s="11"/>
      <c r="I196" s="11"/>
      <c r="J196" s="11"/>
      <c r="K196" s="37"/>
      <c r="L196" s="38"/>
      <c r="M196" s="38"/>
      <c r="N196" s="37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3.2" x14ac:dyDescent="0.25">
      <c r="A197" s="29"/>
      <c r="B197" s="11"/>
      <c r="C197" s="11"/>
      <c r="D197" s="11"/>
      <c r="E197" s="11"/>
      <c r="F197" s="11"/>
      <c r="G197" s="11"/>
      <c r="H197" s="11"/>
      <c r="I197" s="11"/>
      <c r="J197" s="11"/>
      <c r="K197" s="44"/>
      <c r="L197" s="45"/>
      <c r="M197" s="45"/>
      <c r="N197" s="44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3.2" x14ac:dyDescent="0.25">
      <c r="A198" s="29"/>
      <c r="B198" s="11"/>
      <c r="C198" s="11"/>
      <c r="D198" s="11"/>
      <c r="E198" s="11"/>
      <c r="F198" s="11"/>
      <c r="G198" s="11"/>
      <c r="H198" s="11"/>
      <c r="I198" s="11"/>
      <c r="J198" s="11"/>
      <c r="K198" s="37"/>
      <c r="L198" s="38"/>
      <c r="M198" s="38"/>
      <c r="N198" s="37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3.2" x14ac:dyDescent="0.25">
      <c r="A199" s="29"/>
      <c r="B199" s="11"/>
      <c r="C199" s="11"/>
      <c r="D199" s="11"/>
      <c r="E199" s="11"/>
      <c r="F199" s="11"/>
      <c r="G199" s="11"/>
      <c r="H199" s="11"/>
      <c r="I199" s="11"/>
      <c r="J199" s="11"/>
      <c r="K199" s="44"/>
      <c r="L199" s="58"/>
      <c r="M199" s="58"/>
      <c r="N199" s="44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3.2" x14ac:dyDescent="0.25">
      <c r="A200" s="29"/>
      <c r="B200" s="11"/>
      <c r="C200" s="11"/>
      <c r="D200" s="11"/>
      <c r="E200" s="11"/>
      <c r="F200" s="11"/>
      <c r="G200" s="11"/>
      <c r="H200" s="11"/>
      <c r="I200" s="11"/>
      <c r="J200" s="11"/>
      <c r="K200" s="37"/>
      <c r="L200" s="38"/>
      <c r="M200" s="38"/>
      <c r="N200" s="37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3.2" x14ac:dyDescent="0.25">
      <c r="A201" s="29"/>
      <c r="B201" s="11"/>
      <c r="C201" s="11"/>
      <c r="D201" s="11"/>
      <c r="E201" s="11"/>
      <c r="F201" s="11"/>
      <c r="G201" s="11"/>
      <c r="H201" s="11"/>
      <c r="I201" s="11"/>
      <c r="J201" s="11"/>
      <c r="K201" s="44"/>
      <c r="L201" s="45"/>
      <c r="M201" s="45"/>
      <c r="N201" s="44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3.2" x14ac:dyDescent="0.25">
      <c r="A202" s="29"/>
      <c r="B202" s="11"/>
      <c r="C202" s="11"/>
      <c r="D202" s="11"/>
      <c r="E202" s="11"/>
      <c r="F202" s="11"/>
      <c r="G202" s="11"/>
      <c r="H202" s="11"/>
      <c r="I202" s="11"/>
      <c r="J202" s="11"/>
      <c r="K202" s="37"/>
      <c r="L202" s="38"/>
      <c r="M202" s="38"/>
      <c r="N202" s="37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3.2" x14ac:dyDescent="0.25">
      <c r="A203" s="29"/>
      <c r="B203" s="11"/>
      <c r="C203" s="11"/>
      <c r="D203" s="11"/>
      <c r="E203" s="11"/>
      <c r="F203" s="11"/>
      <c r="G203" s="11"/>
      <c r="H203" s="11"/>
      <c r="I203" s="11"/>
      <c r="J203" s="11"/>
      <c r="K203" s="44"/>
      <c r="L203" s="45"/>
      <c r="M203" s="45"/>
      <c r="N203" s="44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3.2" x14ac:dyDescent="0.25">
      <c r="A204" s="29"/>
      <c r="B204" s="11"/>
      <c r="C204" s="11"/>
      <c r="D204" s="11"/>
      <c r="E204" s="11"/>
      <c r="F204" s="11"/>
      <c r="G204" s="11"/>
      <c r="H204" s="11"/>
      <c r="I204" s="11"/>
      <c r="J204" s="11"/>
      <c r="K204" s="37"/>
      <c r="L204" s="38"/>
      <c r="M204" s="38"/>
      <c r="N204" s="37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3.2" x14ac:dyDescent="0.25">
      <c r="A205" s="29"/>
      <c r="B205" s="11"/>
      <c r="C205" s="11"/>
      <c r="D205" s="11"/>
      <c r="E205" s="11"/>
      <c r="F205" s="11"/>
      <c r="G205" s="11"/>
      <c r="H205" s="11"/>
      <c r="I205" s="11"/>
      <c r="J205" s="11"/>
      <c r="K205" s="44"/>
      <c r="L205" s="45"/>
      <c r="M205" s="45"/>
      <c r="N205" s="44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3.2" x14ac:dyDescent="0.25">
      <c r="A206" s="29"/>
      <c r="B206" s="11"/>
      <c r="C206" s="11"/>
      <c r="D206" s="11"/>
      <c r="E206" s="11"/>
      <c r="F206" s="11"/>
      <c r="G206" s="11"/>
      <c r="H206" s="11"/>
      <c r="I206" s="11"/>
      <c r="J206" s="11"/>
      <c r="K206" s="37"/>
      <c r="L206" s="38"/>
      <c r="M206" s="38"/>
      <c r="N206" s="37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3.2" x14ac:dyDescent="0.25">
      <c r="A207" s="29"/>
      <c r="B207" s="11"/>
      <c r="C207" s="11"/>
      <c r="D207" s="11"/>
      <c r="E207" s="11"/>
      <c r="F207" s="11"/>
      <c r="G207" s="11"/>
      <c r="H207" s="11"/>
      <c r="I207" s="11"/>
      <c r="J207" s="11"/>
      <c r="K207" s="44"/>
      <c r="L207" s="45"/>
      <c r="M207" s="45"/>
      <c r="N207" s="44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3.2" x14ac:dyDescent="0.25">
      <c r="A208" s="29"/>
      <c r="B208" s="11"/>
      <c r="C208" s="11"/>
      <c r="D208" s="11"/>
      <c r="E208" s="11"/>
      <c r="F208" s="11"/>
      <c r="G208" s="11"/>
      <c r="H208" s="11"/>
      <c r="I208" s="11"/>
      <c r="J208" s="11"/>
      <c r="K208" s="37"/>
      <c r="L208" s="38"/>
      <c r="M208" s="38"/>
      <c r="N208" s="37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3.2" x14ac:dyDescent="0.25">
      <c r="A209" s="29"/>
      <c r="B209" s="11"/>
      <c r="C209" s="11"/>
      <c r="D209" s="11"/>
      <c r="E209" s="11"/>
      <c r="F209" s="11"/>
      <c r="G209" s="11"/>
      <c r="H209" s="11"/>
      <c r="I209" s="11"/>
      <c r="J209" s="11"/>
      <c r="K209" s="44"/>
      <c r="L209" s="45"/>
      <c r="M209" s="45"/>
      <c r="N209" s="44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3.2" x14ac:dyDescent="0.25">
      <c r="A210" s="29"/>
      <c r="B210" s="11"/>
      <c r="C210" s="11"/>
      <c r="D210" s="11"/>
      <c r="E210" s="11"/>
      <c r="F210" s="11"/>
      <c r="G210" s="11"/>
      <c r="H210" s="11"/>
      <c r="I210" s="11"/>
      <c r="J210" s="11"/>
      <c r="K210" s="37"/>
      <c r="L210" s="38"/>
      <c r="M210" s="38"/>
      <c r="N210" s="37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3.2" x14ac:dyDescent="0.25">
      <c r="A211" s="29"/>
      <c r="B211" s="11"/>
      <c r="C211" s="11"/>
      <c r="D211" s="11"/>
      <c r="E211" s="11"/>
      <c r="F211" s="11"/>
      <c r="G211" s="11"/>
      <c r="H211" s="11"/>
      <c r="I211" s="11"/>
      <c r="J211" s="11"/>
      <c r="K211" s="44"/>
      <c r="L211" s="45"/>
      <c r="M211" s="45"/>
      <c r="N211" s="44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3.2" x14ac:dyDescent="0.25">
      <c r="A212" s="29"/>
      <c r="B212" s="11"/>
      <c r="C212" s="11"/>
      <c r="D212" s="11"/>
      <c r="E212" s="11"/>
      <c r="F212" s="11"/>
      <c r="G212" s="11"/>
      <c r="H212" s="11"/>
      <c r="I212" s="11"/>
      <c r="J212" s="11"/>
      <c r="K212" s="37"/>
      <c r="L212" s="38"/>
      <c r="M212" s="38"/>
      <c r="N212" s="37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3.2" x14ac:dyDescent="0.25">
      <c r="A213" s="29"/>
      <c r="B213" s="11"/>
      <c r="C213" s="11"/>
      <c r="D213" s="11"/>
      <c r="E213" s="11"/>
      <c r="F213" s="11"/>
      <c r="G213" s="11"/>
      <c r="H213" s="11"/>
      <c r="I213" s="11"/>
      <c r="J213" s="11"/>
      <c r="K213" s="44"/>
      <c r="L213" s="45"/>
      <c r="M213" s="45"/>
      <c r="N213" s="44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3.2" x14ac:dyDescent="0.25">
      <c r="A214" s="29"/>
      <c r="B214" s="11"/>
      <c r="C214" s="11"/>
      <c r="D214" s="11"/>
      <c r="E214" s="11"/>
      <c r="F214" s="11"/>
      <c r="G214" s="11"/>
      <c r="H214" s="11"/>
      <c r="I214" s="11"/>
      <c r="J214" s="11"/>
      <c r="K214" s="37"/>
      <c r="L214" s="38"/>
      <c r="M214" s="38"/>
      <c r="N214" s="37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3.2" x14ac:dyDescent="0.25">
      <c r="A215" s="29"/>
      <c r="B215" s="11"/>
      <c r="C215" s="11"/>
      <c r="D215" s="11"/>
      <c r="E215" s="11"/>
      <c r="F215" s="11"/>
      <c r="G215" s="11"/>
      <c r="H215" s="11"/>
      <c r="I215" s="11"/>
      <c r="J215" s="11"/>
      <c r="K215" s="44"/>
      <c r="L215" s="45"/>
      <c r="M215" s="45"/>
      <c r="N215" s="44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3.2" x14ac:dyDescent="0.25">
      <c r="A216" s="29"/>
      <c r="B216" s="11"/>
      <c r="C216" s="11"/>
      <c r="D216" s="11"/>
      <c r="E216" s="11"/>
      <c r="F216" s="11"/>
      <c r="G216" s="11"/>
      <c r="H216" s="11"/>
      <c r="I216" s="11"/>
      <c r="J216" s="11"/>
      <c r="K216" s="37"/>
      <c r="L216" s="38"/>
      <c r="M216" s="38"/>
      <c r="N216" s="37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3.2" x14ac:dyDescent="0.25">
      <c r="A217" s="29"/>
      <c r="B217" s="11"/>
      <c r="C217" s="11"/>
      <c r="D217" s="11"/>
      <c r="E217" s="11"/>
      <c r="F217" s="11"/>
      <c r="G217" s="11"/>
      <c r="H217" s="11"/>
      <c r="I217" s="11"/>
      <c r="J217" s="11"/>
      <c r="K217" s="44"/>
      <c r="L217" s="45"/>
      <c r="M217" s="45"/>
      <c r="N217" s="44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3.2" x14ac:dyDescent="0.25">
      <c r="A218" s="29"/>
      <c r="B218" s="11"/>
      <c r="C218" s="11"/>
      <c r="D218" s="11"/>
      <c r="E218" s="11"/>
      <c r="F218" s="11"/>
      <c r="G218" s="11"/>
      <c r="H218" s="11"/>
      <c r="I218" s="11"/>
      <c r="J218" s="11"/>
      <c r="K218" s="37"/>
      <c r="L218" s="38"/>
      <c r="M218" s="38"/>
      <c r="N218" s="37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3.2" x14ac:dyDescent="0.25">
      <c r="A219" s="29"/>
      <c r="B219" s="11"/>
      <c r="C219" s="11"/>
      <c r="D219" s="11"/>
      <c r="E219" s="11"/>
      <c r="F219" s="11"/>
      <c r="G219" s="11"/>
      <c r="H219" s="11"/>
      <c r="I219" s="11"/>
      <c r="J219" s="11"/>
      <c r="K219" s="44"/>
      <c r="L219" s="45"/>
      <c r="M219" s="45"/>
      <c r="N219" s="44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3.2" x14ac:dyDescent="0.25">
      <c r="A220" s="29"/>
      <c r="B220" s="11"/>
      <c r="C220" s="11"/>
      <c r="D220" s="11"/>
      <c r="E220" s="11"/>
      <c r="F220" s="11"/>
      <c r="G220" s="11"/>
      <c r="H220" s="11"/>
      <c r="I220" s="11"/>
      <c r="J220" s="11"/>
      <c r="K220" s="37"/>
      <c r="L220" s="38"/>
      <c r="M220" s="38"/>
      <c r="N220" s="37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3.2" x14ac:dyDescent="0.25">
      <c r="A221" s="29"/>
      <c r="B221" s="11"/>
      <c r="C221" s="11"/>
      <c r="D221" s="11"/>
      <c r="E221" s="11"/>
      <c r="F221" s="11"/>
      <c r="G221" s="11"/>
      <c r="H221" s="11"/>
      <c r="I221" s="11"/>
      <c r="J221" s="11"/>
      <c r="K221" s="44"/>
      <c r="L221" s="45"/>
      <c r="M221" s="45"/>
      <c r="N221" s="44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3.2" x14ac:dyDescent="0.25">
      <c r="A222" s="29"/>
      <c r="B222" s="11"/>
      <c r="C222" s="11"/>
      <c r="D222" s="11"/>
      <c r="E222" s="11"/>
      <c r="F222" s="11"/>
      <c r="G222" s="11"/>
      <c r="H222" s="11"/>
      <c r="I222" s="11"/>
      <c r="J222" s="11"/>
      <c r="K222" s="37"/>
      <c r="L222" s="38"/>
      <c r="M222" s="38"/>
      <c r="N222" s="37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3.2" x14ac:dyDescent="0.25">
      <c r="A223" s="29"/>
      <c r="B223" s="11"/>
      <c r="C223" s="11"/>
      <c r="D223" s="11"/>
      <c r="E223" s="11"/>
      <c r="F223" s="11"/>
      <c r="G223" s="11"/>
      <c r="H223" s="11"/>
      <c r="I223" s="11"/>
      <c r="J223" s="11"/>
      <c r="K223" s="44"/>
      <c r="L223" s="45"/>
      <c r="M223" s="45"/>
      <c r="N223" s="44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3.2" x14ac:dyDescent="0.25">
      <c r="A224" s="29"/>
      <c r="B224" s="11"/>
      <c r="C224" s="11"/>
      <c r="D224" s="11"/>
      <c r="E224" s="11"/>
      <c r="F224" s="11"/>
      <c r="G224" s="11"/>
      <c r="H224" s="11"/>
      <c r="I224" s="11"/>
      <c r="J224" s="11"/>
      <c r="K224" s="37"/>
      <c r="L224" s="38"/>
      <c r="M224" s="38"/>
      <c r="N224" s="37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3.2" x14ac:dyDescent="0.25">
      <c r="A225" s="29"/>
      <c r="B225" s="11"/>
      <c r="C225" s="11"/>
      <c r="D225" s="11"/>
      <c r="E225" s="11"/>
      <c r="F225" s="11"/>
      <c r="G225" s="11"/>
      <c r="H225" s="11"/>
      <c r="I225" s="11"/>
      <c r="J225" s="11"/>
      <c r="K225" s="44"/>
      <c r="L225" s="45"/>
      <c r="M225" s="45"/>
      <c r="N225" s="44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3.2" x14ac:dyDescent="0.25">
      <c r="A226" s="29"/>
      <c r="B226" s="11"/>
      <c r="C226" s="11"/>
      <c r="D226" s="11"/>
      <c r="E226" s="11"/>
      <c r="F226" s="11"/>
      <c r="G226" s="11"/>
      <c r="H226" s="11"/>
      <c r="I226" s="11"/>
      <c r="J226" s="11"/>
      <c r="K226" s="37"/>
      <c r="L226" s="38"/>
      <c r="M226" s="38"/>
      <c r="N226" s="37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3.2" x14ac:dyDescent="0.25">
      <c r="A227" s="29"/>
      <c r="B227" s="11"/>
      <c r="C227" s="11"/>
      <c r="D227" s="11"/>
      <c r="E227" s="11"/>
      <c r="F227" s="11"/>
      <c r="G227" s="11"/>
      <c r="H227" s="11"/>
      <c r="I227" s="11"/>
      <c r="J227" s="11"/>
      <c r="K227" s="44"/>
      <c r="L227" s="45"/>
      <c r="M227" s="45"/>
      <c r="N227" s="44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3.2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3.2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3.2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3.2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3.2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3.2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3.2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3.2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3.2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3.2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3.2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3.2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3.2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3.2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3.2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3.2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3.2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3.2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3.2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3.2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3.2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3.2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3.2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3.2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3.2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3.2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3.2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3.2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3.2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3.2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3.2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3.2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3.2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3.2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3.2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3.2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3.2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3.2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3.2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3.2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3.2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3.2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3.2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3.2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3.2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3.2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3.2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3.2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3.2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3.2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3.2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3.2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3.2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3.2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3.2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3.2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3.2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3.2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3.2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3.2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3.2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3.2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3.2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3.2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3.2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3.2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3.2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3.2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3.2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3.2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3.2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3.2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3.2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3.2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3.2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3.2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3.2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3.2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3.2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3.2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3.2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3.2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3.2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3.2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3.2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3.2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3.2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3.2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3.2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3.2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3.2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3.2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3.2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3.2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3.2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3.2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3.2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3.2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3.2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3.2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3.2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3.2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3.2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3.2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3.2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3.2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3.2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3.2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3.2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3.2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3.2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3.2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3.2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3.2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3.2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3.2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3.2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3.2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3.2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3.2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3.2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3.2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3.2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3.2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3.2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3.2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3.2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3.2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3.2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3.2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3.2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3.2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3.2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3.2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3.2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3.2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3.2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3.2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3.2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3.2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3.2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3.2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3.2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3.2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3.2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3.2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3.2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3.2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3.2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3.2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3.2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3.2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3.2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3.2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3.2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3.2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3.2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3.2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3.2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3.2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3.2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3.2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3.2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3.2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3.2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3.2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3.2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3.2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3.2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3.2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3.2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3.2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3.2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3.2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3.2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3.2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3.2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3.2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3.2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3.2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3.2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3.2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3.2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3.2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3.2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3.2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3.2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3.2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3.2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3.2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3.2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3.2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3.2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3.2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3.2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3.2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3.2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3.2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3.2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3.2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3.2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3.2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3.2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3.2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3.2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3.2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3.2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3.2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3.2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3.2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3.2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3.2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3.2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3.2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3.2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3.2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3.2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3.2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3.2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3.2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3.2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3.2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3.2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3.2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3.2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3.2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3.2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3.2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3.2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3.2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3.2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3.2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3.2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3.2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3.2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3.2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3.2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3.2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3.2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3.2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3.2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3.2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3.2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3.2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3.2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3.2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3.2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3.2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3.2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3.2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3.2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3.2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3.2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3.2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3.2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3.2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3.2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3.2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3.2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3.2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3.2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3.2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3.2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3.2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3.2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3.2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3.2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3.2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3.2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3.2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3.2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3.2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3.2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3.2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3.2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3.2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3.2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3.2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3.2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3.2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3.2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3.2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3.2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3.2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3.2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3.2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3.2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3.2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3.2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3.2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3.2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3.2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3.2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3.2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3.2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3.2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3.2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3.2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3.2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3.2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3.2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3.2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3.2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3.2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3.2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3.2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3.2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3.2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3.2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3.2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3.2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3.2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3.2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3.2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3.2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3.2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3.2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3.2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3.2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3.2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3.2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3.2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3.2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3.2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3.2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3.2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3.2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3.2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3.2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3.2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3.2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3.2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3.2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3.2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3.2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3.2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3.2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3.2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3.2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3.2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3.2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3.2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3.2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3.2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3.2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3.2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3.2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3.2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3.2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3.2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3.2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3.2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3.2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3.2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3.2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3.2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3.2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3.2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3.2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3.2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3.2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3.2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3.2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3.2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3.2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3.2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3.2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3.2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3.2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3.2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3.2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3.2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3.2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3.2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3.2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3.2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3.2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3.2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3.2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3.2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3.2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3.2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3.2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3.2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3.2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3.2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3.2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3.2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3.2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3.2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3.2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3.2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3.2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3.2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3.2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3.2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3.2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3.2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3.2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3.2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3.2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3.2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3.2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3.2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3.2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3.2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3.2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3.2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3.2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3.2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3.2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3.2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3.2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3.2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3.2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3.2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3.2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3.2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3.2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3.2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3.2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3.2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3.2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3.2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3.2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3.2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3.2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3.2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3.2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3.2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3.2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3.2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3.2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3.2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3.2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3.2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3.2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3.2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3.2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3.2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3.2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3.2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3.2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3.2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3.2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3.2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3.2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3.2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3.2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3.2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3.2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3.2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3.2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3.2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3.2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3.2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3.2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3.2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3.2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3.2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3.2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3.2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3.2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3.2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3.2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3.2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3.2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3.2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3.2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3.2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3.2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3.2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3.2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3.2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3.2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3.2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3.2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3.2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3.2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3.2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3.2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3.2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3.2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3.2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3.2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3.2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3.2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3.2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3.2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3.2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3.2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3.2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3.2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3.2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3.2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3.2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3.2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3.2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3.2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3.2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3.2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3.2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3.2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3.2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3.2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3.2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3.2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3.2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3.2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3.2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3.2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3.2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3.2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3.2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3.2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3.2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3.2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3.2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3.2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3.2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3.2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3.2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3.2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3.2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3.2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3.2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3.2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3.2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3.2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3.2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3.2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3.2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3.2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3.2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3.2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3.2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3.2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3.2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3.2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3.2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3.2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3.2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3.2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3.2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3.2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3.2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3.2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3.2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3.2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3.2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3.2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3.2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3.2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3.2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3.2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3.2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3.2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3.2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3.2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3.2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3.2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3.2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3.2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3.2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3.2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3.2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3.2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3.2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3.2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3.2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3.2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3.2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3.2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3.2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3.2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3.2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3.2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3.2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3.2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3.2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3.2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3.2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3.2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3.2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3.2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3.2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3.2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3.2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3.2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3.2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3.2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3.2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3.2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3.2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3.2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3.2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3.2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3.2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3.2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3.2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3.2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3.2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3.2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3.2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3.2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3.2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3.2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3.2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3.2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3.2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3.2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3.2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3.2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3.2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3.2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3.2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3.2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3.2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3.2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3.2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3.2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3.2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3.2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3.2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3.2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3.2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3.2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3.2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3.2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3.2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3.2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3.2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3.2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3.2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3.2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3.2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3.2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3.2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3.2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3.2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3.2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3.2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3.2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3.2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3.2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3.2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3.2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3.2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3.2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3.2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3.2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3.2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3.2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3.2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3.2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3.2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3.2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3.2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3.2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3.2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3.2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3.2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3.2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3.2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3.2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3.2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3.2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3.2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3.2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3.2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3.2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3.2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3.2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3.2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3.2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3.2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3.2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3.2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3.2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3.2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3.2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3.2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3.2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3.2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3.2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3.2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3.2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3.2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3.2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3.2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3.2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3.2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3.2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3.2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3.2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3.2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3.2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3.2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3.2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3.2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3.2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3.2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3.2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3.2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3.2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3.2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3.2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3.2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3.2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3.2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3.2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3.2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3.2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3.2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3.2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3.2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3.2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3.2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3.2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3.2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3.2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3.2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3.2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3.2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3.2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3.2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3.2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3.2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3.2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3.2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3.2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3.2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3.2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3.2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3.2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3.2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3.2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3.2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3.2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3.2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3.2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3.2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3.2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3.2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3.2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3.2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3.2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3.2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3.2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3.2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3.2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3.2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3.2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3.2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3.2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3.2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3.2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3.2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3.2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3.2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3.2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3.2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3.2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3.2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3.2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3.2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3.2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3.2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3.2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3.2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3.2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3.2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3.2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dataValidations count="5">
    <dataValidation type="list" allowBlank="1" sqref="M2:M170" xr:uid="{00000000-0002-0000-0100-000000000000}">
      <formula1>"Yes,No"</formula1>
    </dataValidation>
    <dataValidation type="custom" allowBlank="1" showErrorMessage="1" sqref="C2:C1000" xr:uid="{00000000-0002-0000-0100-000001000000}">
      <formula1>EXACT(C2, UPPER(C2))</formula1>
    </dataValidation>
    <dataValidation type="list" allowBlank="1" sqref="K2:K170" xr:uid="{00000000-0002-0000-0100-000002000000}">
      <formula1>"3500,2000"</formula1>
    </dataValidation>
    <dataValidation type="list" allowBlank="1" showErrorMessage="1" sqref="L2:L170" xr:uid="{00000000-0002-0000-0100-000003000000}">
      <formula1>"Shanmukh,Vedant,Saish"</formula1>
    </dataValidation>
    <dataValidation allowBlank="1" showDropDown="1" sqref="H2:H170" xr:uid="{00000000-0002-0000-0100-000004000000}"/>
  </dataValidations>
  <hyperlinks>
    <hyperlink ref="J2" r:id="rId1" display="https://drive.google.com/open?id=1AIVzemuGUNnX0w2-MclkGOZiHj5HB616" xr:uid="{00000000-0004-0000-0100-000000000000}"/>
    <hyperlink ref="J3" r:id="rId2" display="https://drive.google.com/open?id=1LI5OwaswJqQWkdvYFYo9U-K_K9kW8Z7P" xr:uid="{00000000-0004-0000-0100-000001000000}"/>
    <hyperlink ref="J4" r:id="rId3" display="https://drive.google.com/open?id=1d8Q1K9QYDOWGLQOBwEj6uzFf_KKeSF0v" xr:uid="{00000000-0004-0000-0100-000002000000}"/>
    <hyperlink ref="J5" r:id="rId4" display="https://drive.google.com/open?id=17mC4JteHJej5ZOSWWl-hVeITQGkqOAxC" xr:uid="{00000000-0004-0000-0100-000003000000}"/>
    <hyperlink ref="J6" r:id="rId5" display="https://drive.google.com/open?id=1HRg3e0FrX6FRYJR6wcCVfehWZLjESg3g" xr:uid="{00000000-0004-0000-0100-000004000000}"/>
    <hyperlink ref="J7" r:id="rId6" display="https://drive.google.com/open?id=1nC8fLMNwpTLCWF28rJYUN75D15P6SxFI" xr:uid="{00000000-0004-0000-0100-000005000000}"/>
    <hyperlink ref="J8" r:id="rId7" display="https://drive.google.com/open?id=1PlCe09HLGv1fNJ6j5xSx1Ee5Oh-Vcsa5" xr:uid="{00000000-0004-0000-0100-000006000000}"/>
    <hyperlink ref="J9" r:id="rId8" display="https://drive.google.com/open?id=1IbKuXxSVeCeyYStGG9XyXm2V3CcF2909" xr:uid="{00000000-0004-0000-0100-000007000000}"/>
    <hyperlink ref="J10" r:id="rId9" display="https://drive.google.com/open?id=1Nl1tmnCwCpr3tISkM9u2eEPyjT6yrh_f" xr:uid="{00000000-0004-0000-0100-000008000000}"/>
    <hyperlink ref="J11" r:id="rId10" display="https://drive.google.com/open?id=1U922O7rrrk8lE44J8PU1eTbFnCBQ_WSu" xr:uid="{00000000-0004-0000-0100-000009000000}"/>
    <hyperlink ref="J12" r:id="rId11" display="https://drive.google.com/open?id=1sJZdjStFyr0MevmUYhf3RgNl6DUKppPV" xr:uid="{00000000-0004-0000-0100-00000A000000}"/>
    <hyperlink ref="J13" r:id="rId12" display="https://drive.google.com/open?id=1BGLscvtpWVGC9Q_j_Dg9kRaFflSAG0Pz" xr:uid="{00000000-0004-0000-0100-00000B000000}"/>
    <hyperlink ref="J14" r:id="rId13" display="https://drive.google.com/open?id=1UhpB2wVSHDdsltoyZFDECIki4EyNLu4f" xr:uid="{00000000-0004-0000-0100-00000C000000}"/>
    <hyperlink ref="J15" r:id="rId14" display="https://drive.google.com/open?id=1rU7cHcDlCR0DVUtLnYwoLwLd_eW__Snx" xr:uid="{00000000-0004-0000-0100-00000D000000}"/>
    <hyperlink ref="J16" r:id="rId15" display="https://drive.google.com/open?id=1b5ljHMzjMwS3nZ5TgNfvXnKVaP6dLEyk" xr:uid="{00000000-0004-0000-0100-00000E000000}"/>
    <hyperlink ref="J17" r:id="rId16" display="https://drive.google.com/open?id=1uLaQKtvROQ7x3fkmx7x5ruJjMZSZoOzl" xr:uid="{00000000-0004-0000-0100-00000F000000}"/>
    <hyperlink ref="J18" r:id="rId17" display="https://drive.google.com/open?id=1qq8OhzbCvCcsfG4au9_iYcSy_UQBfeXa" xr:uid="{00000000-0004-0000-0100-000010000000}"/>
    <hyperlink ref="J19" r:id="rId18" display="https://drive.google.com/open?id=1ntNdkF2fovJ_jHEnmbgurSEuqAvMh3Pm" xr:uid="{00000000-0004-0000-0100-000011000000}"/>
    <hyperlink ref="J20" r:id="rId19" display="https://drive.google.com/open?id=1BN9BqwC2Fx2yUAd8hyR5glTrb7AKq9OT" xr:uid="{00000000-0004-0000-0100-000012000000}"/>
    <hyperlink ref="J21" r:id="rId20" display="https://drive.google.com/open?id=1iVYejZygWqL5K3_EVDrSO9d-X97FJoD5" xr:uid="{00000000-0004-0000-0100-000013000000}"/>
    <hyperlink ref="J22" r:id="rId21" display="https://drive.google.com/open?id=1Gyd0FkkDMdghnB04mWafNjgGl8uxb4tW" xr:uid="{00000000-0004-0000-0100-000014000000}"/>
    <hyperlink ref="J23" r:id="rId22" display="https://drive.google.com/open?id=1Cc3HD8aYHP5PFCBUjji35LEbR1_Omkzo" xr:uid="{00000000-0004-0000-0100-000015000000}"/>
    <hyperlink ref="J24" r:id="rId23" display="https://drive.google.com/open?id=1sm7ry2d6QGmhIGMA4Riij8Lx42boLNnr" xr:uid="{00000000-0004-0000-0100-000016000000}"/>
    <hyperlink ref="J25" r:id="rId24" display="https://drive.google.com/open?id=1DXxK7otp-tFswoCMk9ga7g374BgjSnlT" xr:uid="{00000000-0004-0000-0100-000017000000}"/>
    <hyperlink ref="J26" r:id="rId25" display="https://drive.google.com/open?id=1jxSDmQgZTYwYb5ugBgh-cYfpTeGXzoa_" xr:uid="{00000000-0004-0000-0100-000018000000}"/>
    <hyperlink ref="J27" r:id="rId26" display="https://drive.google.com/open?id=1aYnIYWYSEs730Q2WVdzbCeOUELBwznve" xr:uid="{00000000-0004-0000-0100-000019000000}"/>
    <hyperlink ref="J28" r:id="rId27" display="https://drive.google.com/open?id=1lZ8R3sKXe5XClB1j5BIKx4PSveS4iY94" xr:uid="{00000000-0004-0000-0100-00001A000000}"/>
    <hyperlink ref="J29" r:id="rId28" display="https://drive.google.com/open?id=1r1WGJDeiGs0Au86L4TqpLQdlPjm2PlhS" xr:uid="{00000000-0004-0000-0100-00001B000000}"/>
    <hyperlink ref="J30" r:id="rId29" display="https://drive.google.com/open?id=13TgqsONgirCRCJ4kS5rG29-60bj9tqhm" xr:uid="{00000000-0004-0000-0100-00001C000000}"/>
    <hyperlink ref="J31" r:id="rId30" display="https://drive.google.com/open?id=17llLcndaE4vzOZYIrd0QEhmMNumu3zRy" xr:uid="{00000000-0004-0000-0100-00001D000000}"/>
    <hyperlink ref="J32" r:id="rId31" display="https://drive.google.com/open?id=1cxDZiUDOuk2LQ5sfxtsf8nMYRq8xImBd" xr:uid="{00000000-0004-0000-0100-00001E000000}"/>
    <hyperlink ref="J33" r:id="rId32" display="https://drive.google.com/open?id=1TL8kIRI-jjZwU2yzm-9lnsLywvPK2AeW" xr:uid="{00000000-0004-0000-0100-00001F000000}"/>
    <hyperlink ref="J34" r:id="rId33" display="https://drive.google.com/open?id=1srRlYAT9y7NBBA6cyPXeqA296CqnEUo5" xr:uid="{00000000-0004-0000-0100-000020000000}"/>
    <hyperlink ref="J35" r:id="rId34" display="https://drive.google.com/open?id=1Wrbs6tZk5dcbvP607WIJtE8_0FTw2m2l" xr:uid="{00000000-0004-0000-0100-000021000000}"/>
    <hyperlink ref="J36" r:id="rId35" display="https://drive.google.com/open?id=1t9jfpmdNgdQ1Hr5Lhj-1JILHkK8gly94" xr:uid="{00000000-0004-0000-0100-000022000000}"/>
    <hyperlink ref="J37" r:id="rId36" display="https://drive.google.com/open?id=18G7jiEi4fs4Fva43E03f1NPLNQp2frY5" xr:uid="{00000000-0004-0000-0100-000023000000}"/>
    <hyperlink ref="J38" r:id="rId37" display="https://drive.google.com/open?id=1EWD8MmRKgmNou61m8u_ncUbjfSDv7HfM" xr:uid="{00000000-0004-0000-0100-000024000000}"/>
    <hyperlink ref="J39" r:id="rId38" display="https://drive.google.com/open?id=1hgSOZGxTpBoCutPIqkWcz3JB-Bs13pDC" xr:uid="{00000000-0004-0000-0100-000025000000}"/>
    <hyperlink ref="J40" r:id="rId39" display="https://drive.google.com/open?id=1oTzl6ykcTzlUGL1bhyDlEJotZ9CLVbTU" xr:uid="{00000000-0004-0000-0100-000026000000}"/>
    <hyperlink ref="J41" r:id="rId40" display="https://drive.google.com/open?id=1YFHh-vmRn_dwWRb_xI1K5mTBYB7CzldW" xr:uid="{00000000-0004-0000-0100-000027000000}"/>
    <hyperlink ref="J42" r:id="rId41" display="https://drive.google.com/open?id=1yAFnaky1tjehKj71iyOpnqGZoT5sLupC" xr:uid="{00000000-0004-0000-0100-000028000000}"/>
    <hyperlink ref="J43" r:id="rId42" display="https://drive.google.com/open?id=1saQp3JyvxC1Q7rlXsfCE7tHD0PzgTZxb" xr:uid="{00000000-0004-0000-0100-000029000000}"/>
    <hyperlink ref="J44" r:id="rId43" display="https://drive.google.com/open?id=1KQyoZN9WmqLB9bQULAD977hce13VMGmi" xr:uid="{00000000-0004-0000-0100-00002A000000}"/>
    <hyperlink ref="J45" r:id="rId44" display="https://drive.google.com/open?id=1P1rg6dBtOrhjmuc4eKqpkXZazyNwj9iv" xr:uid="{00000000-0004-0000-0100-00002B000000}"/>
    <hyperlink ref="J46" r:id="rId45" display="https://drive.google.com/open?id=168hu_5Mu-Ge134Gpn-sZTAJqFKPaL0Vl" xr:uid="{00000000-0004-0000-0100-00002C000000}"/>
    <hyperlink ref="J47" r:id="rId46" display="https://drive.google.com/open?id=1IPP0Irvza3IZBIKDL8hTLppj_XX-eFaf" xr:uid="{00000000-0004-0000-0100-00002D000000}"/>
    <hyperlink ref="J48" r:id="rId47" display="https://drive.google.com/open?id=1mZJmge5hiILZbIZtpxkou9xgepHB8hRc" xr:uid="{00000000-0004-0000-0100-00002E000000}"/>
    <hyperlink ref="J49" r:id="rId48" display="https://drive.google.com/open?id=1AfSfaPNFC5UnMJuz1rgd_kHlFnbes1TL" xr:uid="{00000000-0004-0000-0100-00002F000000}"/>
    <hyperlink ref="J50" r:id="rId49" display="https://drive.google.com/open?id=14XVrQa1b5ulL-1GJWYACgzMLINOpgaTZ" xr:uid="{00000000-0004-0000-0100-000030000000}"/>
    <hyperlink ref="J51" r:id="rId50" display="https://drive.google.com/open?id=1OmcTq8nkpH6hd__M1k9UEblw50gGBZOO" xr:uid="{00000000-0004-0000-0100-000031000000}"/>
    <hyperlink ref="J52" r:id="rId51" display="https://drive.google.com/open?id=1dtnlKl-qaqgClJzXzDAASiKfrFEgNUCu" xr:uid="{00000000-0004-0000-0100-000032000000}"/>
    <hyperlink ref="J53" r:id="rId52" display="https://drive.google.com/open?id=1MGB5ZNxzAPATFLQ5zRI3S5XnAkisWAsi" xr:uid="{00000000-0004-0000-0100-000033000000}"/>
    <hyperlink ref="J54" r:id="rId53" display="https://drive.google.com/open?id=1yKj6L69oJyY0_kAD5cILzEYenPKsQY0z" xr:uid="{00000000-0004-0000-0100-000034000000}"/>
    <hyperlink ref="J55" r:id="rId54" display="https://drive.google.com/open?id=1LG3deDfN-Mz2ITCZ1QEm1g7KRKQT922r" xr:uid="{00000000-0004-0000-0100-000035000000}"/>
    <hyperlink ref="J56" r:id="rId55" display="https://drive.google.com/open?id=1JVwgQzEi1KMDwkJBSkEhVg0cvbpoh2aA" xr:uid="{00000000-0004-0000-0100-000036000000}"/>
    <hyperlink ref="J57" r:id="rId56" display="https://drive.google.com/open?id=1nLTGQGPIcNSBnTeqpaFCjKpRlnmvfJ9_" xr:uid="{00000000-0004-0000-0100-000037000000}"/>
    <hyperlink ref="J58" r:id="rId57" display="https://drive.google.com/open?id=1fDPNf5tqC_ulqcL_OiuNpevLu7t8x4Ib" xr:uid="{00000000-0004-0000-0100-000038000000}"/>
    <hyperlink ref="J59" r:id="rId58" display="https://drive.google.com/open?id=1tGAhlndcRuXuXv3vVmd8Bamj57TzPkWZ" xr:uid="{00000000-0004-0000-0100-000039000000}"/>
    <hyperlink ref="J60" r:id="rId59" display="https://drive.google.com/open?id=1pYILoUv4KEHB5q_expalO9of5toUX8Ih" xr:uid="{00000000-0004-0000-0100-00003A000000}"/>
    <hyperlink ref="J61" r:id="rId60" display="https://drive.google.com/open?id=1Iajo4XMvzOP05zdjn0pJpYP6NpR0Ns6I" xr:uid="{00000000-0004-0000-0100-00003B000000}"/>
    <hyperlink ref="J62" r:id="rId61" display="https://drive.google.com/open?id=1iCk41EdHrEww9lsCdFIL_h2QAkKDsJdZ" xr:uid="{00000000-0004-0000-0100-00003C000000}"/>
    <hyperlink ref="J63" r:id="rId62" display="https://drive.google.com/open?id=1oznfJmnit4Eh70nt5bJl9LzQ7sCRJzk-" xr:uid="{00000000-0004-0000-0100-00003D000000}"/>
    <hyperlink ref="J64" r:id="rId63" display="https://drive.google.com/open?id=1t8TxC-xHHTCQ7LLpy8Ie5qN1qaDE_SQz" xr:uid="{00000000-0004-0000-0100-00003E000000}"/>
    <hyperlink ref="J65" r:id="rId64" display="https://drive.google.com/open?id=1MUHNCL5OU3SJqVYxOOsdNhVZmEk1zFnf" xr:uid="{00000000-0004-0000-0100-00003F000000}"/>
    <hyperlink ref="J66" r:id="rId65" display="https://drive.google.com/open?id=1fxz3tyQW6QttJ08u8dRrcHHm81P4jH1W" xr:uid="{00000000-0004-0000-0100-000040000000}"/>
    <hyperlink ref="J67" r:id="rId66" display="https://drive.google.com/open?id=1wSiNV0dEdtm3PwD8TXve-CV7uBXb5Xj2" xr:uid="{00000000-0004-0000-0100-000041000000}"/>
    <hyperlink ref="J68" r:id="rId67" display="https://drive.google.com/open?id=1Wg8TEM5ptaZpd8OF85DLnpBXbnRlgO8N" xr:uid="{00000000-0004-0000-0100-000042000000}"/>
    <hyperlink ref="J69" r:id="rId68" display="https://drive.google.com/open?id=1ysDdtNTt5YI9a7A5I5qOk1ihRmxkwEQq" xr:uid="{00000000-0004-0000-0100-000043000000}"/>
    <hyperlink ref="J70" r:id="rId69" display="https://drive.google.com/open?id=1T7FJvzoiZQQU_zS9VCUo6lWJfxG5X-P6" xr:uid="{00000000-0004-0000-0100-000044000000}"/>
    <hyperlink ref="J71" r:id="rId70" display="https://drive.google.com/open?id=1cZ-hfpmLpriUihR0vzNfVm9Nfo58ZFkZ" xr:uid="{00000000-0004-0000-0100-000045000000}"/>
    <hyperlink ref="J72" r:id="rId71" display="https://drive.google.com/open?id=1vby1zZC-8UxK_PfrbJOIjOVEg0PD4oJv" xr:uid="{00000000-0004-0000-0100-000046000000}"/>
    <hyperlink ref="J73" r:id="rId72" display="https://drive.google.com/open?id=12ktarbDbU9j0HsGwH9co5gVGWh5o9eYS" xr:uid="{00000000-0004-0000-0100-000047000000}"/>
    <hyperlink ref="J74" r:id="rId73" display="https://drive.google.com/open?id=1yca-QFnGhBq4hLK3VqQvyYrX07GnvGp1" xr:uid="{00000000-0004-0000-0100-000048000000}"/>
    <hyperlink ref="J75" r:id="rId74" display="https://drive.google.com/open?id=113A66ndEcp7S1Frlxtm7mFajZObOZO8l" xr:uid="{00000000-0004-0000-0100-000049000000}"/>
    <hyperlink ref="J76" r:id="rId75" display="https://drive.google.com/open?id=1xaWnI3tyn6fUM6fna_5qSBndzobY9hu2" xr:uid="{00000000-0004-0000-0100-00004A000000}"/>
    <hyperlink ref="J77" r:id="rId76" display="https://drive.google.com/open?id=1yGjb_6tyHI6oXiDgtIfeyeTcPujxdcBL" xr:uid="{00000000-0004-0000-0100-00004B000000}"/>
    <hyperlink ref="J78" r:id="rId77" display="https://drive.google.com/open?id=1H7e6RdeI4edULu9JsTCLbwPMJ0HBcifJ" xr:uid="{00000000-0004-0000-0100-00004C000000}"/>
    <hyperlink ref="J79" r:id="rId78" display="https://drive.google.com/open?id=1BpQaP3Ldz8aeJfBgtburAopVV2ef4S4_" xr:uid="{00000000-0004-0000-0100-00004D000000}"/>
    <hyperlink ref="J80" r:id="rId79" display="https://drive.google.com/open?id=13BeakJOvbyhK2y58n7ZDHnv7Wz-2hSD4" xr:uid="{00000000-0004-0000-0100-00004E000000}"/>
    <hyperlink ref="J81" r:id="rId80" display="https://drive.google.com/open?id=1C9n_lvyEaqo5OCjYMx6zy4z42DRHdBHe" xr:uid="{00000000-0004-0000-0100-00004F000000}"/>
    <hyperlink ref="J82" r:id="rId81" display="https://drive.google.com/open?id=1OHVb6kMFU4ePF-rAtVmcwWsl4SyB6tJf" xr:uid="{00000000-0004-0000-0100-000050000000}"/>
    <hyperlink ref="J83" r:id="rId82" display="https://drive.google.com/open?id=10Hyy_o-l-Czcvw6L_nnhyWxHnt7XhaxZ" xr:uid="{00000000-0004-0000-0100-000051000000}"/>
    <hyperlink ref="J84" r:id="rId83" display="https://drive.google.com/open?id=1i1vUcyKpVthcrDATTILlDQ1ZffrmckOF" xr:uid="{00000000-0004-0000-0100-000052000000}"/>
    <hyperlink ref="J85" r:id="rId84" display="https://drive.google.com/open?id=1zAf8HACB3hQkDebVCM62YFWRkz9DBR6H" xr:uid="{00000000-0004-0000-0100-000053000000}"/>
    <hyperlink ref="J86" r:id="rId85" display="https://drive.google.com/open?id=1b3G_U523vcH7hfgNmABN_0nmKWNBNayK" xr:uid="{00000000-0004-0000-0100-000054000000}"/>
    <hyperlink ref="J87" r:id="rId86" display="https://drive.google.com/open?id=1HOW3N9pti8LJ8frMp1wybPjd5fafi8vc" xr:uid="{00000000-0004-0000-0100-000055000000}"/>
    <hyperlink ref="J88" r:id="rId87" display="https://drive.google.com/open?id=1UL-Ues64mUFjPPBV3aAJQB6I1dlaO7CY" xr:uid="{00000000-0004-0000-0100-000056000000}"/>
    <hyperlink ref="J89" r:id="rId88" display="https://drive.google.com/open?id=1zXkR-2updFUGhm1Ms4NCkN0a3jgPlALs" xr:uid="{00000000-0004-0000-0100-000057000000}"/>
    <hyperlink ref="J90" r:id="rId89" display="https://drive.google.com/open?id=1XarX9rExSZnknhXHb24vRxHwgN-Ec2kp" xr:uid="{00000000-0004-0000-0100-000058000000}"/>
    <hyperlink ref="J91" r:id="rId90" display="https://drive.google.com/open?id=1wnZhjlSsyMWXYjnd3Kkk4dpyr5y4YRh-" xr:uid="{00000000-0004-0000-0100-000059000000}"/>
    <hyperlink ref="J92" r:id="rId91" display="https://drive.google.com/open?id=1hTP0CmEfwrUtdZkFTbVstbz_v03oklV1" xr:uid="{00000000-0004-0000-0100-00005A000000}"/>
    <hyperlink ref="J93" r:id="rId92" display="https://drive.google.com/open?id=1XzpFZeqyIuUyQKuhvIF4DFQNxo-EXVj9" xr:uid="{00000000-0004-0000-0100-00005B000000}"/>
    <hyperlink ref="J94" r:id="rId93" display="https://drive.google.com/open?id=1dJq-FuYMvMZxaDr1xB6DNn3ZlJN4clT0" xr:uid="{00000000-0004-0000-0100-00005C000000}"/>
    <hyperlink ref="J95" r:id="rId94" display="https://drive.google.com/open?id=1nZLwbVOWKCoGSyPAqoBw_dBVyeCAiegS" xr:uid="{00000000-0004-0000-0100-00005D000000}"/>
    <hyperlink ref="J96" r:id="rId95" display="https://drive.google.com/open?id=1LzoFXeWrpj2M6ViQeX5Rsp2nI8ccMAHB" xr:uid="{00000000-0004-0000-0100-00005E000000}"/>
    <hyperlink ref="J97" r:id="rId96" display="https://drive.google.com/open?id=1IbmdwE_lCSG3O_1lj2DPYDELYuR9cR4b" xr:uid="{00000000-0004-0000-0100-00005F000000}"/>
    <hyperlink ref="J98" r:id="rId97" display="https://drive.google.com/open?id=1LXTlvyLt4zAWH-_Eh9eKJrUb4abRxDn2" xr:uid="{00000000-0004-0000-0100-000060000000}"/>
    <hyperlink ref="J99" r:id="rId98" display="https://drive.google.com/open?id=1njLWzGbfJ6A1PzkMlWLuql9cKQy9FK0r" xr:uid="{00000000-0004-0000-0100-000061000000}"/>
    <hyperlink ref="J100" r:id="rId99" display="https://drive.google.com/open?id=1x-vaDnUU8Ql73uCyJQhCnYnr3cqoUor5" xr:uid="{00000000-0004-0000-0100-000062000000}"/>
    <hyperlink ref="J101" r:id="rId100" display="https://drive.google.com/open?id=1asGKYcnxxB60kyp4c4pld-YgV6j-coKE" xr:uid="{00000000-0004-0000-0100-000063000000}"/>
    <hyperlink ref="J102" r:id="rId101" display="https://drive.google.com/open?id=1XlYeOaA_0HbZzIgd1XA6Oi1IT7kVv19J" xr:uid="{00000000-0004-0000-0100-000064000000}"/>
    <hyperlink ref="J103" r:id="rId102" display="https://drive.google.com/open?id=1aWIbyvrJBTVgVC2KnKY_7kDxCg8d0QHT" xr:uid="{00000000-0004-0000-0100-000065000000}"/>
    <hyperlink ref="J104" r:id="rId103" display="https://drive.google.com/open?id=1gzI6F-aLXiFLPaVGhFufrhu7o4lAhtty" xr:uid="{00000000-0004-0000-0100-000066000000}"/>
    <hyperlink ref="J105" r:id="rId104" display="https://drive.google.com/open?id=1yijBvusVoWQ_lKrQnaeH2-ZQc-l6DRRw" xr:uid="{00000000-0004-0000-0100-000067000000}"/>
    <hyperlink ref="J106" r:id="rId105" display="https://drive.google.com/open?id=1P8IP2jgDwsa-3bvJEqJxXE0KLo0HkZhD" xr:uid="{00000000-0004-0000-0100-000068000000}"/>
    <hyperlink ref="J107" r:id="rId106" display="https://drive.google.com/open?id=1tEAsWjXaBuWWuqH3szUfszcakRGQAEkB" xr:uid="{00000000-0004-0000-0100-000069000000}"/>
    <hyperlink ref="J108" r:id="rId107" display="https://drive.google.com/open?id=1hygWFPvyhoRx_kxg1bJsSjTwCNJavJn3" xr:uid="{00000000-0004-0000-0100-00006A000000}"/>
    <hyperlink ref="J109" r:id="rId108" display="https://drive.google.com/open?id=1Z-0W8-plfvOtUyMgELxIxVwRfZ3kE0aZ" xr:uid="{00000000-0004-0000-0100-00006B000000}"/>
    <hyperlink ref="J110" r:id="rId109" display="https://drive.google.com/open?id=1BsEi3TYUlBH_VY7FmKJVB2BBe3ZFyO3U" xr:uid="{00000000-0004-0000-0100-00006C000000}"/>
    <hyperlink ref="J111" r:id="rId110" display="https://drive.google.com/open?id=11RD3VTx5IuLZx2mjyj-IGQmF0gc-Xqdm" xr:uid="{00000000-0004-0000-0100-00006D000000}"/>
    <hyperlink ref="J112" r:id="rId111" display="https://drive.google.com/open?id=11z7oibcrrzCZ-ZbmHECHB_sZEw6ZJQDo" xr:uid="{00000000-0004-0000-0100-00006E000000}"/>
    <hyperlink ref="J113" r:id="rId112" display="https://drive.google.com/open?id=1cA2DWQBXBYwYbi5X9pdCAHTU0lyX7084" xr:uid="{00000000-0004-0000-0100-00006F000000}"/>
    <hyperlink ref="J114" r:id="rId113" display="https://drive.google.com/open?id=1ZuwCPXEGzUZQS5N0OncSQmaZBghxGurf" xr:uid="{00000000-0004-0000-0100-000070000000}"/>
    <hyperlink ref="J115" r:id="rId114" display="https://drive.google.com/open?id=1X90MEa4pgm40hurWxQhcFkedqi1npuhr" xr:uid="{00000000-0004-0000-0100-000071000000}"/>
    <hyperlink ref="J116" r:id="rId115" display="https://drive.google.com/open?id=1QfLnGwGQq9tw0oyoFOlk4PbwA8C5D07A" xr:uid="{00000000-0004-0000-0100-000072000000}"/>
    <hyperlink ref="J117" r:id="rId116" display="https://drive.google.com/open?id=1Fr-5rKEOYeX_LmLaSk4I1j_w6BO-Sq4K" xr:uid="{00000000-0004-0000-0100-000073000000}"/>
    <hyperlink ref="J118" r:id="rId117" display="https://drive.google.com/open?id=1rmuYmU9Hu_uPm1xO7IeFpi5GaZBHax6n" xr:uid="{00000000-0004-0000-0100-000074000000}"/>
    <hyperlink ref="J119" r:id="rId118" display="https://drive.google.com/open?id=1-nAzfHZDoWLEVbTSRjbsEU4NXpIqVeIH" xr:uid="{00000000-0004-0000-0100-000075000000}"/>
    <hyperlink ref="J120" r:id="rId119" display="https://drive.google.com/open?id=1u7mH54wQ-GW6Vrs_KKjbR2EDcqZm9L23" xr:uid="{00000000-0004-0000-0100-000076000000}"/>
    <hyperlink ref="J121" r:id="rId120" display="https://drive.google.com/open?id=13zCU2ARYOOyLXTOAdW25wVBbBhgT6Pgt" xr:uid="{00000000-0004-0000-0100-000077000000}"/>
    <hyperlink ref="J122" r:id="rId121" display="https://drive.google.com/open?id=1AiEI3bDfAbm9cOHHYlk1Xaw9KQuP726j" xr:uid="{00000000-0004-0000-0100-000078000000}"/>
    <hyperlink ref="J123" r:id="rId122" display="https://drive.google.com/open?id=1uqM_cv5CfPLCaUWu4cfZUKiZkyNN9ppp" xr:uid="{00000000-0004-0000-0100-000079000000}"/>
    <hyperlink ref="J124" r:id="rId123" display="https://drive.google.com/open?id=1crcPemJlpj7unsI-PNrlwF-1Q0kABJjU" xr:uid="{00000000-0004-0000-0100-00007A000000}"/>
    <hyperlink ref="J125" r:id="rId124" display="https://drive.google.com/open?id=1eyJ_fz1UCY4_GtMIkC99e0TNyqR87Cvc" xr:uid="{00000000-0004-0000-0100-00007B000000}"/>
    <hyperlink ref="J126" r:id="rId125" display="https://drive.google.com/open?id=15oQGH4xFis3w02psnF7vTGwx0f41QOpN" xr:uid="{00000000-0004-0000-0100-00007C000000}"/>
    <hyperlink ref="J127" r:id="rId126" display="https://drive.google.com/open?id=1jNXuyPUsntobU45_LsDzgTlPlCgDIlfX" xr:uid="{00000000-0004-0000-0100-00007D000000}"/>
    <hyperlink ref="J128" r:id="rId127" display="https://drive.google.com/open?id=18XIwqvFSZkgyGRzAELTgCiX4J5mcwmad" xr:uid="{00000000-0004-0000-0100-00007E000000}"/>
    <hyperlink ref="J129" r:id="rId128" display="https://drive.google.com/open?id=1DQpoV1UTQ7MtRlFg6gZ9z6Hkk170pBL5" xr:uid="{00000000-0004-0000-0100-00007F000000}"/>
    <hyperlink ref="J130" r:id="rId129" display="https://drive.google.com/open?id=1I9TNKavbsNiN3fP6gcLm8RzoPFGc0VDb" xr:uid="{00000000-0004-0000-0100-000080000000}"/>
    <hyperlink ref="J131" r:id="rId130" display="https://drive.google.com/open?id=1JqlsvXQ9Kj3QXVWKiLswIzAFFvVxDkoe" xr:uid="{00000000-0004-0000-0100-000081000000}"/>
    <hyperlink ref="J132" r:id="rId131" display="https://drive.google.com/open?id=1NBu-1Hrrlibzd45OG1ldrGWUDQVFGW-u" xr:uid="{00000000-0004-0000-0100-000082000000}"/>
    <hyperlink ref="J133" r:id="rId132" display="https://drive.google.com/open?id=1z64fF6IZA2qqjEc4mVv2Rg6J8RuZ76B9" xr:uid="{00000000-0004-0000-0100-000083000000}"/>
    <hyperlink ref="J134" r:id="rId133" display="https://drive.google.com/open?id=179gD1QNE1nkzd7Ip0Jeyi6sIOU3NRTTd" xr:uid="{00000000-0004-0000-0100-000084000000}"/>
    <hyperlink ref="J135" r:id="rId134" display="https://drive.google.com/open?id=1k-c74aYYHBteSsVPE9QCTyG_4g8PIvi8" xr:uid="{00000000-0004-0000-0100-000085000000}"/>
    <hyperlink ref="J136" r:id="rId135" display="https://drive.google.com/open?id=1sbhfspJ1oxjYNxC8JYeNulpzqZtCc96h" xr:uid="{00000000-0004-0000-0100-000086000000}"/>
    <hyperlink ref="J137" r:id="rId136" display="https://drive.google.com/open?id=1sY4cpGMiGclZcgo-uULlxzSnf9YrmntY" xr:uid="{00000000-0004-0000-0100-000087000000}"/>
    <hyperlink ref="J138" r:id="rId137" display="https://drive.google.com/open?id=1h6ByaE7VDxy6EQJhhFqCo-197FQuQVT8" xr:uid="{00000000-0004-0000-0100-000088000000}"/>
    <hyperlink ref="J139" r:id="rId138" display="https://drive.google.com/open?id=1azuH1Y31eXASsOLOq2MknqvwhR6UBmEV" xr:uid="{00000000-0004-0000-0100-000089000000}"/>
    <hyperlink ref="J140" r:id="rId139" display="https://drive.google.com/open?id=1J-7Le0ImTRApZW2GxR-acYNXn5isDJmI" xr:uid="{00000000-0004-0000-0100-00008A000000}"/>
    <hyperlink ref="J141" r:id="rId140" display="https://drive.google.com/open?id=13xT1fR4MxT3Qx2gWYxnUYZzg2yTdv6M3" xr:uid="{00000000-0004-0000-0100-00008B000000}"/>
    <hyperlink ref="J142" r:id="rId141" display="https://drive.google.com/open?id=1r4Wcz-gWztD4cCDaxBH1bTCxincDO1Cn" xr:uid="{00000000-0004-0000-0100-00008C000000}"/>
    <hyperlink ref="J143" r:id="rId142" display="https://drive.google.com/open?id=1zamDEFvNXi4Z_Fr6ov6pCy8QG_oDSh2-" xr:uid="{00000000-0004-0000-0100-00008D000000}"/>
    <hyperlink ref="J144" r:id="rId143" display="https://drive.google.com/open?id=1IiJKIySYIWU30N6QL42Dy1I_CrbRWlOU" xr:uid="{00000000-0004-0000-0100-00008E000000}"/>
    <hyperlink ref="J145" r:id="rId144" display="https://drive.google.com/open?id=1vyyJ7PGEGJRVW3qmpC940Wfr_foZN3zF" xr:uid="{00000000-0004-0000-0100-00008F000000}"/>
    <hyperlink ref="J146" r:id="rId145" display="https://drive.google.com/open?id=1YIS38r_vI0PFicgHQviuuexhzhqFg1sP" xr:uid="{00000000-0004-0000-0100-000090000000}"/>
    <hyperlink ref="J147" r:id="rId146" display="https://drive.google.com/open?id=1qr6r4CKfkHDn74jI-OwFtMoi1OTsbKbE" xr:uid="{00000000-0004-0000-0100-000091000000}"/>
    <hyperlink ref="J148" r:id="rId147" display="https://drive.google.com/open?id=1ivlUc2E3NmcP2A3suPDt_SDXHQaI3EMx" xr:uid="{00000000-0004-0000-0100-000092000000}"/>
    <hyperlink ref="J149" r:id="rId148" display="https://drive.google.com/open?id=1nbTWxqTN-aHSmbpRq7jjJ1Jc7V24o-o5" xr:uid="{00000000-0004-0000-0100-000093000000}"/>
    <hyperlink ref="J150" r:id="rId149" display="https://drive.google.com/open?id=1PRBMVVq7qkCGvJ6YUN4ikMaxu8t6kpDE" xr:uid="{00000000-0004-0000-0100-000094000000}"/>
    <hyperlink ref="J151" r:id="rId150" display="https://drive.google.com/open?id=1kyGkKvB_4BUtjziinsqjcQ2kPTYXyiIl" xr:uid="{00000000-0004-0000-0100-000095000000}"/>
    <hyperlink ref="J152" r:id="rId151" display="https://drive.google.com/open?id=1On3g703iUg4PiF85efZmoF2-ZASmP06d" xr:uid="{00000000-0004-0000-0100-000096000000}"/>
    <hyperlink ref="J153" r:id="rId152" display="https://drive.google.com/open?id=13iO1cB5GN400nNbpre7O4N3GLVXAF-Z2" xr:uid="{00000000-0004-0000-0100-000097000000}"/>
    <hyperlink ref="J154" r:id="rId153" display="https://drive.google.com/open?id=1diQ9m3vBOmueAkeMvkUlQcJ-8rcWpUMb" xr:uid="{00000000-0004-0000-0100-000098000000}"/>
    <hyperlink ref="J155" r:id="rId154" display="https://drive.google.com/open?id=1R-58PLLsaxImXTZWqNxoX8YvfDLEiVsA" xr:uid="{00000000-0004-0000-0100-000099000000}"/>
    <hyperlink ref="J156" r:id="rId155" display="https://drive.google.com/open?id=16QP9atmtYBuFhqSQvBlBEk0DWtoLD9k9" xr:uid="{00000000-0004-0000-0100-00009A000000}"/>
    <hyperlink ref="J157" r:id="rId156" display="https://drive.google.com/open?id=1FL0yvFxZSsO7GvY6VOY7s74WJjvP5jaS" xr:uid="{00000000-0004-0000-0100-00009B000000}"/>
    <hyperlink ref="J158" r:id="rId157" display="https://drive.google.com/open?id=10fbbloQj-Ax3tjFki7w2n026a0SbosA1" xr:uid="{00000000-0004-0000-0100-00009C000000}"/>
    <hyperlink ref="J159" r:id="rId158" display="https://drive.google.com/open?id=1Mpql7QpT8C-QiI5g7EMh6ovZCdqDpxDe" xr:uid="{00000000-0004-0000-0100-00009D000000}"/>
    <hyperlink ref="J160" r:id="rId159" display="https://drive.google.com/open?id=1__aIX5vdBwhak4bgA7EuKIgLFAilItva" xr:uid="{00000000-0004-0000-0100-00009E000000}"/>
    <hyperlink ref="J161" r:id="rId160" display="https://drive.google.com/open?id=1hbnz11YBXi5g1EIfz6Mh67BgnOcTBTEs" xr:uid="{00000000-0004-0000-0100-00009F000000}"/>
    <hyperlink ref="J162" r:id="rId161" display="https://drive.google.com/open?id=1JZgRRpPTHbdVOz1ZoG71ESfFm0xSpn_L" xr:uid="{00000000-0004-0000-0100-0000A0000000}"/>
    <hyperlink ref="J163" r:id="rId162" display="https://drive.google.com/open?id=1yXB0KCdLFtQHth-ApsbWhsVyAkQu9o9E" xr:uid="{00000000-0004-0000-0100-0000A1000000}"/>
  </hyperlinks>
  <printOptions horizontalCentered="1" gridLines="1"/>
  <pageMargins left="1" right="1" top="1" bottom="1" header="0" footer="0"/>
  <pageSetup fitToHeight="0" pageOrder="overThenDown" orientation="portrait" cellComments="atEnd"/>
  <tableParts count="1">
    <tablePart r:id="rId16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L1001"/>
  <sheetViews>
    <sheetView workbookViewId="0"/>
  </sheetViews>
  <sheetFormatPr defaultColWidth="12.6640625" defaultRowHeight="15.75" customHeight="1" x14ac:dyDescent="0.25"/>
  <cols>
    <col min="1" max="1" width="6.77734375" customWidth="1"/>
    <col min="2" max="2" width="8.33203125" customWidth="1"/>
    <col min="3" max="3" width="14" customWidth="1"/>
    <col min="4" max="4" width="38.109375" customWidth="1"/>
    <col min="5" max="5" width="17.77734375" customWidth="1"/>
    <col min="6" max="6" width="12" customWidth="1"/>
  </cols>
  <sheetData>
    <row r="1" spans="1:6" x14ac:dyDescent="0.25">
      <c r="A1" s="3"/>
      <c r="B1" s="85" t="s">
        <v>0</v>
      </c>
      <c r="C1" s="86"/>
      <c r="D1" s="86"/>
      <c r="E1" s="86"/>
      <c r="F1" s="86"/>
    </row>
    <row r="2" spans="1:6" x14ac:dyDescent="0.25">
      <c r="A2" s="4"/>
      <c r="B2" s="87" t="s">
        <v>1</v>
      </c>
      <c r="C2" s="86"/>
      <c r="D2" s="86"/>
      <c r="E2" s="86"/>
      <c r="F2" s="86"/>
    </row>
    <row r="3" spans="1:6" x14ac:dyDescent="0.25">
      <c r="A3" s="5"/>
      <c r="B3" s="87" t="s">
        <v>2</v>
      </c>
      <c r="C3" s="86"/>
      <c r="D3" s="86"/>
      <c r="E3" s="86"/>
      <c r="F3" s="86"/>
    </row>
    <row r="4" spans="1:6" x14ac:dyDescent="0.25">
      <c r="A4" s="6"/>
      <c r="B4" s="7"/>
      <c r="C4" s="8"/>
      <c r="D4" s="8"/>
      <c r="E4" s="8"/>
      <c r="F4" s="8"/>
    </row>
    <row r="5" spans="1:6" x14ac:dyDescent="0.25">
      <c r="A5" s="9"/>
      <c r="B5" s="10" t="s">
        <v>5</v>
      </c>
      <c r="C5" s="13" t="s">
        <v>6</v>
      </c>
      <c r="D5" s="13" t="s">
        <v>8</v>
      </c>
      <c r="E5" s="13" t="s">
        <v>9</v>
      </c>
      <c r="F5" s="16" t="s">
        <v>11</v>
      </c>
    </row>
    <row r="6" spans="1:6" x14ac:dyDescent="0.25">
      <c r="A6" s="17"/>
      <c r="B6" s="18">
        <v>1</v>
      </c>
      <c r="C6" s="20" t="s">
        <v>17</v>
      </c>
      <c r="D6" s="20" t="s">
        <v>19</v>
      </c>
      <c r="E6" s="20">
        <v>9757214594</v>
      </c>
      <c r="F6" s="21" t="s">
        <v>21</v>
      </c>
    </row>
    <row r="7" spans="1:6" x14ac:dyDescent="0.25">
      <c r="A7" s="17"/>
      <c r="B7" s="22">
        <v>2</v>
      </c>
      <c r="C7" s="11" t="s">
        <v>24</v>
      </c>
      <c r="D7" s="11" t="s">
        <v>26</v>
      </c>
      <c r="E7" s="11">
        <v>7400148389</v>
      </c>
      <c r="F7" s="25" t="s">
        <v>21</v>
      </c>
    </row>
    <row r="8" spans="1:6" x14ac:dyDescent="0.25">
      <c r="A8" s="17"/>
      <c r="B8" s="22">
        <v>3</v>
      </c>
      <c r="C8" s="11" t="s">
        <v>28</v>
      </c>
      <c r="D8" s="11" t="s">
        <v>29</v>
      </c>
      <c r="E8" s="11">
        <v>8617789530</v>
      </c>
      <c r="F8" s="25" t="s">
        <v>21</v>
      </c>
    </row>
    <row r="9" spans="1:6" x14ac:dyDescent="0.25">
      <c r="A9" s="17"/>
      <c r="B9" s="22">
        <v>4</v>
      </c>
      <c r="C9" s="11" t="s">
        <v>31</v>
      </c>
      <c r="D9" s="11" t="s">
        <v>33</v>
      </c>
      <c r="E9" s="11">
        <v>9867633068</v>
      </c>
      <c r="F9" s="25" t="s">
        <v>21</v>
      </c>
    </row>
    <row r="10" spans="1:6" x14ac:dyDescent="0.25">
      <c r="A10" s="17"/>
      <c r="B10" s="22">
        <v>5</v>
      </c>
      <c r="C10" s="11" t="s">
        <v>34</v>
      </c>
      <c r="D10" s="11" t="s">
        <v>35</v>
      </c>
      <c r="E10" s="11">
        <v>8369358270</v>
      </c>
      <c r="F10" s="25" t="s">
        <v>21</v>
      </c>
    </row>
    <row r="11" spans="1:6" x14ac:dyDescent="0.25">
      <c r="A11" s="17"/>
      <c r="B11" s="22">
        <v>6</v>
      </c>
      <c r="C11" s="11" t="s">
        <v>36</v>
      </c>
      <c r="D11" s="11" t="s">
        <v>38</v>
      </c>
      <c r="E11" s="11">
        <v>7021472772</v>
      </c>
      <c r="F11" s="25" t="s">
        <v>21</v>
      </c>
    </row>
    <row r="12" spans="1:6" x14ac:dyDescent="0.25">
      <c r="A12" s="17"/>
      <c r="B12" s="22">
        <v>7</v>
      </c>
      <c r="C12" s="11" t="s">
        <v>39</v>
      </c>
      <c r="D12" s="11" t="s">
        <v>40</v>
      </c>
      <c r="E12" s="11">
        <v>8369926234</v>
      </c>
      <c r="F12" s="25" t="s">
        <v>21</v>
      </c>
    </row>
    <row r="13" spans="1:6" x14ac:dyDescent="0.25">
      <c r="A13" s="17"/>
      <c r="B13" s="22">
        <v>8</v>
      </c>
      <c r="C13" s="11" t="s">
        <v>41</v>
      </c>
      <c r="D13" s="11" t="s">
        <v>42</v>
      </c>
      <c r="E13" s="11">
        <v>8108967957</v>
      </c>
      <c r="F13" s="25" t="s">
        <v>21</v>
      </c>
    </row>
    <row r="14" spans="1:6" x14ac:dyDescent="0.25">
      <c r="A14" s="17"/>
      <c r="B14" s="22">
        <v>9</v>
      </c>
      <c r="C14" s="11" t="s">
        <v>43</v>
      </c>
      <c r="D14" s="11" t="s">
        <v>44</v>
      </c>
      <c r="E14" s="11">
        <v>9867198352</v>
      </c>
      <c r="F14" s="25" t="s">
        <v>21</v>
      </c>
    </row>
    <row r="15" spans="1:6" x14ac:dyDescent="0.25">
      <c r="A15" s="17"/>
      <c r="B15" s="22">
        <v>10</v>
      </c>
      <c r="C15" s="11" t="s">
        <v>46</v>
      </c>
      <c r="D15" s="11" t="s">
        <v>47</v>
      </c>
      <c r="E15" s="11">
        <v>9004989528</v>
      </c>
      <c r="F15" s="25" t="s">
        <v>21</v>
      </c>
    </row>
    <row r="16" spans="1:6" x14ac:dyDescent="0.25">
      <c r="A16" s="17"/>
      <c r="B16" s="22">
        <v>11</v>
      </c>
      <c r="C16" s="11" t="s">
        <v>48</v>
      </c>
      <c r="D16" s="11" t="s">
        <v>49</v>
      </c>
      <c r="E16" s="11">
        <v>9987764240</v>
      </c>
      <c r="F16" s="25" t="s">
        <v>21</v>
      </c>
    </row>
    <row r="17" spans="1:6" x14ac:dyDescent="0.25">
      <c r="A17" s="17"/>
      <c r="B17" s="22">
        <v>12</v>
      </c>
      <c r="C17" s="11" t="s">
        <v>50</v>
      </c>
      <c r="D17" s="11" t="s">
        <v>51</v>
      </c>
      <c r="E17" s="11">
        <v>9137387752</v>
      </c>
      <c r="F17" s="25" t="s">
        <v>21</v>
      </c>
    </row>
    <row r="18" spans="1:6" x14ac:dyDescent="0.25">
      <c r="A18" s="17"/>
      <c r="B18" s="22">
        <v>13</v>
      </c>
      <c r="C18" s="11" t="s">
        <v>52</v>
      </c>
      <c r="D18" s="11" t="s">
        <v>53</v>
      </c>
      <c r="E18" s="11">
        <v>8169653310</v>
      </c>
      <c r="F18" s="25" t="s">
        <v>21</v>
      </c>
    </row>
    <row r="19" spans="1:6" x14ac:dyDescent="0.25">
      <c r="A19" s="17"/>
      <c r="B19" s="22">
        <v>14</v>
      </c>
      <c r="C19" s="11" t="s">
        <v>54</v>
      </c>
      <c r="D19" s="11" t="s">
        <v>55</v>
      </c>
      <c r="E19" s="11">
        <v>9967658133</v>
      </c>
      <c r="F19" s="25" t="s">
        <v>21</v>
      </c>
    </row>
    <row r="20" spans="1:6" x14ac:dyDescent="0.25">
      <c r="A20" s="17"/>
      <c r="B20" s="22">
        <v>15</v>
      </c>
      <c r="C20" s="11" t="s">
        <v>56</v>
      </c>
      <c r="D20" s="11" t="s">
        <v>57</v>
      </c>
      <c r="E20" s="11">
        <v>8329895687</v>
      </c>
      <c r="F20" s="25" t="s">
        <v>21</v>
      </c>
    </row>
    <row r="21" spans="1:6" x14ac:dyDescent="0.25">
      <c r="A21" s="17"/>
      <c r="B21" s="22">
        <v>16</v>
      </c>
      <c r="C21" s="11" t="s">
        <v>59</v>
      </c>
      <c r="D21" s="11" t="s">
        <v>60</v>
      </c>
      <c r="E21" s="11">
        <v>9920768085</v>
      </c>
      <c r="F21" s="25" t="s">
        <v>21</v>
      </c>
    </row>
    <row r="22" spans="1:6" x14ac:dyDescent="0.25">
      <c r="A22" s="17"/>
      <c r="B22" s="22">
        <v>17</v>
      </c>
      <c r="C22" s="11" t="s">
        <v>64</v>
      </c>
      <c r="D22" s="11" t="s">
        <v>65</v>
      </c>
      <c r="E22" s="11">
        <v>8689817414</v>
      </c>
      <c r="F22" s="25" t="s">
        <v>21</v>
      </c>
    </row>
    <row r="23" spans="1:6" x14ac:dyDescent="0.25">
      <c r="A23" s="17"/>
      <c r="B23" s="22">
        <v>18</v>
      </c>
      <c r="C23" s="11" t="s">
        <v>67</v>
      </c>
      <c r="D23" s="11" t="s">
        <v>68</v>
      </c>
      <c r="E23" s="11">
        <v>9987363612</v>
      </c>
      <c r="F23" s="25" t="s">
        <v>21</v>
      </c>
    </row>
    <row r="24" spans="1:6" x14ac:dyDescent="0.25">
      <c r="A24" s="17"/>
      <c r="B24" s="22">
        <v>19</v>
      </c>
      <c r="C24" s="11" t="s">
        <v>69</v>
      </c>
      <c r="D24" s="11" t="s">
        <v>70</v>
      </c>
      <c r="E24" s="11">
        <v>8329881698</v>
      </c>
      <c r="F24" s="25" t="s">
        <v>21</v>
      </c>
    </row>
    <row r="25" spans="1:6" x14ac:dyDescent="0.25">
      <c r="A25" s="17"/>
      <c r="B25" s="22">
        <v>20</v>
      </c>
      <c r="C25" s="11" t="s">
        <v>71</v>
      </c>
      <c r="D25" s="11" t="s">
        <v>72</v>
      </c>
      <c r="E25" s="11">
        <v>9223329774</v>
      </c>
      <c r="F25" s="25" t="s">
        <v>21</v>
      </c>
    </row>
    <row r="26" spans="1:6" x14ac:dyDescent="0.25">
      <c r="A26" s="17"/>
      <c r="B26" s="22">
        <v>21</v>
      </c>
      <c r="C26" s="11" t="s">
        <v>73</v>
      </c>
      <c r="D26" s="11" t="s">
        <v>74</v>
      </c>
      <c r="E26" s="11">
        <v>7045381682</v>
      </c>
      <c r="F26" s="25" t="s">
        <v>21</v>
      </c>
    </row>
    <row r="27" spans="1:6" x14ac:dyDescent="0.25">
      <c r="A27" s="17"/>
      <c r="B27" s="22">
        <v>22</v>
      </c>
      <c r="C27" s="11" t="s">
        <v>45</v>
      </c>
      <c r="D27" s="11" t="s">
        <v>58</v>
      </c>
      <c r="E27" s="11">
        <v>8879107327</v>
      </c>
      <c r="F27" s="25" t="s">
        <v>62</v>
      </c>
    </row>
    <row r="28" spans="1:6" x14ac:dyDescent="0.25">
      <c r="A28" s="17"/>
      <c r="B28" s="22">
        <v>23</v>
      </c>
      <c r="C28" s="11" t="s">
        <v>75</v>
      </c>
      <c r="D28" s="11" t="s">
        <v>76</v>
      </c>
      <c r="E28" s="11">
        <v>9766592230</v>
      </c>
      <c r="F28" s="25" t="s">
        <v>62</v>
      </c>
    </row>
    <row r="29" spans="1:6" x14ac:dyDescent="0.25">
      <c r="A29" s="17"/>
      <c r="B29" s="22">
        <v>24</v>
      </c>
      <c r="C29" s="11" t="s">
        <v>77</v>
      </c>
      <c r="D29" s="11" t="s">
        <v>78</v>
      </c>
      <c r="E29" s="11">
        <v>8456815910</v>
      </c>
      <c r="F29" s="25" t="s">
        <v>62</v>
      </c>
    </row>
    <row r="30" spans="1:6" x14ac:dyDescent="0.25">
      <c r="A30" s="17"/>
      <c r="B30" s="22">
        <v>25</v>
      </c>
      <c r="C30" s="11" t="s">
        <v>80</v>
      </c>
      <c r="D30" s="11" t="s">
        <v>81</v>
      </c>
      <c r="E30" s="11">
        <v>9326094398</v>
      </c>
      <c r="F30" s="25" t="s">
        <v>62</v>
      </c>
    </row>
    <row r="31" spans="1:6" x14ac:dyDescent="0.25">
      <c r="A31" s="17"/>
      <c r="B31" s="22">
        <v>26</v>
      </c>
      <c r="C31" s="11" t="s">
        <v>82</v>
      </c>
      <c r="D31" s="11" t="s">
        <v>83</v>
      </c>
      <c r="E31" s="11">
        <v>7738488505</v>
      </c>
      <c r="F31" s="25" t="s">
        <v>62</v>
      </c>
    </row>
    <row r="32" spans="1:6" x14ac:dyDescent="0.25">
      <c r="A32" s="17"/>
      <c r="B32" s="22">
        <v>27</v>
      </c>
      <c r="C32" s="11" t="s">
        <v>84</v>
      </c>
      <c r="D32" s="11" t="s">
        <v>85</v>
      </c>
      <c r="E32" s="11">
        <v>8104697081</v>
      </c>
      <c r="F32" s="25" t="s">
        <v>62</v>
      </c>
    </row>
    <row r="33" spans="1:6" x14ac:dyDescent="0.25">
      <c r="A33" s="17"/>
      <c r="B33" s="22">
        <v>28</v>
      </c>
      <c r="C33" s="11" t="s">
        <v>86</v>
      </c>
      <c r="D33" s="11" t="s">
        <v>87</v>
      </c>
      <c r="E33" s="11">
        <v>8208097951</v>
      </c>
      <c r="F33" s="25" t="s">
        <v>62</v>
      </c>
    </row>
    <row r="34" spans="1:6" x14ac:dyDescent="0.25">
      <c r="A34" s="17"/>
      <c r="B34" s="22">
        <v>29</v>
      </c>
      <c r="C34" s="11" t="s">
        <v>88</v>
      </c>
      <c r="D34" s="11" t="s">
        <v>89</v>
      </c>
      <c r="E34" s="11">
        <v>9552816324</v>
      </c>
      <c r="F34" s="25" t="s">
        <v>62</v>
      </c>
    </row>
    <row r="35" spans="1:6" x14ac:dyDescent="0.25">
      <c r="A35" s="17"/>
      <c r="B35" s="22">
        <v>30</v>
      </c>
      <c r="C35" s="11" t="s">
        <v>91</v>
      </c>
      <c r="D35" s="11" t="s">
        <v>92</v>
      </c>
      <c r="E35" s="11">
        <v>8108755999</v>
      </c>
      <c r="F35" s="25" t="s">
        <v>62</v>
      </c>
    </row>
    <row r="36" spans="1:6" x14ac:dyDescent="0.25">
      <c r="A36" s="17"/>
      <c r="B36" s="22">
        <v>31</v>
      </c>
      <c r="C36" s="11" t="s">
        <v>93</v>
      </c>
      <c r="D36" s="11" t="s">
        <v>94</v>
      </c>
      <c r="E36" s="11">
        <v>9152166507</v>
      </c>
      <c r="F36" s="25" t="s">
        <v>62</v>
      </c>
    </row>
    <row r="37" spans="1:6" x14ac:dyDescent="0.25">
      <c r="A37" s="17"/>
      <c r="B37" s="22">
        <v>32</v>
      </c>
      <c r="C37" s="11" t="s">
        <v>95</v>
      </c>
      <c r="D37" s="11" t="s">
        <v>96</v>
      </c>
      <c r="E37" s="11">
        <v>9819155764</v>
      </c>
      <c r="F37" s="25" t="s">
        <v>62</v>
      </c>
    </row>
    <row r="38" spans="1:6" x14ac:dyDescent="0.25">
      <c r="A38" s="17"/>
      <c r="B38" s="22">
        <v>33</v>
      </c>
      <c r="C38" s="11" t="s">
        <v>99</v>
      </c>
      <c r="D38" s="11" t="s">
        <v>100</v>
      </c>
      <c r="E38" s="11">
        <v>9324987974</v>
      </c>
      <c r="F38" s="25" t="s">
        <v>62</v>
      </c>
    </row>
    <row r="39" spans="1:6" x14ac:dyDescent="0.25">
      <c r="A39" s="17"/>
      <c r="B39" s="22">
        <v>34</v>
      </c>
      <c r="C39" s="11" t="s">
        <v>102</v>
      </c>
      <c r="D39" s="11" t="s">
        <v>103</v>
      </c>
      <c r="E39" s="11">
        <v>9307484139</v>
      </c>
      <c r="F39" s="25" t="s">
        <v>62</v>
      </c>
    </row>
    <row r="40" spans="1:6" x14ac:dyDescent="0.25">
      <c r="A40" s="17"/>
      <c r="B40" s="22">
        <v>35</v>
      </c>
      <c r="C40" s="11" t="s">
        <v>105</v>
      </c>
      <c r="D40" s="11" t="s">
        <v>106</v>
      </c>
      <c r="E40" s="11">
        <v>8275589550</v>
      </c>
      <c r="F40" s="25" t="s">
        <v>62</v>
      </c>
    </row>
    <row r="41" spans="1:6" x14ac:dyDescent="0.25">
      <c r="A41" s="17"/>
      <c r="B41" s="22">
        <v>36</v>
      </c>
      <c r="C41" s="11" t="s">
        <v>107</v>
      </c>
      <c r="D41" s="11" t="s">
        <v>108</v>
      </c>
      <c r="E41" s="11">
        <v>9082663796</v>
      </c>
      <c r="F41" s="25" t="s">
        <v>62</v>
      </c>
    </row>
    <row r="42" spans="1:6" x14ac:dyDescent="0.25">
      <c r="A42" s="17"/>
      <c r="B42" s="22">
        <v>37</v>
      </c>
      <c r="C42" s="11" t="s">
        <v>110</v>
      </c>
      <c r="D42" s="11" t="s">
        <v>111</v>
      </c>
      <c r="E42" s="11">
        <v>8652186570</v>
      </c>
      <c r="F42" s="25" t="s">
        <v>62</v>
      </c>
    </row>
    <row r="43" spans="1:6" x14ac:dyDescent="0.25">
      <c r="A43" s="17"/>
      <c r="B43" s="22">
        <v>38</v>
      </c>
      <c r="C43" s="11" t="s">
        <v>113</v>
      </c>
      <c r="D43" s="11" t="s">
        <v>114</v>
      </c>
      <c r="E43" s="11">
        <v>9403211247</v>
      </c>
      <c r="F43" s="25" t="s">
        <v>62</v>
      </c>
    </row>
    <row r="44" spans="1:6" x14ac:dyDescent="0.25">
      <c r="A44" s="17"/>
      <c r="B44" s="22">
        <v>39</v>
      </c>
      <c r="C44" s="11" t="s">
        <v>115</v>
      </c>
      <c r="D44" s="11" t="s">
        <v>116</v>
      </c>
      <c r="E44" s="11">
        <v>9167029632</v>
      </c>
      <c r="F44" s="25" t="s">
        <v>62</v>
      </c>
    </row>
    <row r="45" spans="1:6" x14ac:dyDescent="0.25">
      <c r="A45" s="17"/>
      <c r="B45" s="22">
        <v>40</v>
      </c>
      <c r="C45" s="11" t="s">
        <v>117</v>
      </c>
      <c r="D45" s="11" t="s">
        <v>118</v>
      </c>
      <c r="E45" s="11">
        <v>9764311207</v>
      </c>
      <c r="F45" s="25" t="s">
        <v>62</v>
      </c>
    </row>
    <row r="46" spans="1:6" x14ac:dyDescent="0.25">
      <c r="A46" s="17"/>
      <c r="B46" s="22">
        <v>41</v>
      </c>
      <c r="C46" s="11" t="s">
        <v>119</v>
      </c>
      <c r="D46" s="11" t="s">
        <v>120</v>
      </c>
      <c r="E46" s="11">
        <v>9321232991</v>
      </c>
      <c r="F46" s="25" t="s">
        <v>62</v>
      </c>
    </row>
    <row r="47" spans="1:6" x14ac:dyDescent="0.25">
      <c r="A47" s="17"/>
      <c r="B47" s="22">
        <v>42</v>
      </c>
      <c r="C47" s="11" t="s">
        <v>121</v>
      </c>
      <c r="D47" s="11" t="s">
        <v>122</v>
      </c>
      <c r="E47" s="11">
        <v>7208777716</v>
      </c>
      <c r="F47" s="25" t="s">
        <v>62</v>
      </c>
    </row>
    <row r="48" spans="1:6" x14ac:dyDescent="0.25">
      <c r="A48" s="17"/>
      <c r="B48" s="22">
        <v>43</v>
      </c>
      <c r="C48" s="11" t="s">
        <v>123</v>
      </c>
      <c r="D48" s="11" t="s">
        <v>124</v>
      </c>
      <c r="E48" s="11">
        <v>9324633282</v>
      </c>
      <c r="F48" s="25" t="s">
        <v>62</v>
      </c>
    </row>
    <row r="49" spans="1:6" x14ac:dyDescent="0.25">
      <c r="A49" s="17"/>
      <c r="B49" s="22">
        <v>44</v>
      </c>
      <c r="C49" s="11" t="s">
        <v>125</v>
      </c>
      <c r="D49" s="11" t="s">
        <v>126</v>
      </c>
      <c r="E49" s="11">
        <v>9967976058</v>
      </c>
      <c r="F49" s="25" t="s">
        <v>62</v>
      </c>
    </row>
    <row r="50" spans="1:6" x14ac:dyDescent="0.25">
      <c r="A50" s="17"/>
      <c r="B50" s="22">
        <v>45</v>
      </c>
      <c r="C50" s="11" t="s">
        <v>127</v>
      </c>
      <c r="D50" s="11" t="s">
        <v>128</v>
      </c>
      <c r="E50" s="11">
        <v>8879923414</v>
      </c>
      <c r="F50" s="25" t="s">
        <v>62</v>
      </c>
    </row>
    <row r="51" spans="1:6" x14ac:dyDescent="0.25">
      <c r="A51" s="17"/>
      <c r="B51" s="22">
        <v>46</v>
      </c>
      <c r="C51" s="11" t="s">
        <v>129</v>
      </c>
      <c r="D51" s="11" t="s">
        <v>130</v>
      </c>
      <c r="E51" s="11">
        <v>7900042274</v>
      </c>
      <c r="F51" s="25" t="s">
        <v>62</v>
      </c>
    </row>
    <row r="52" spans="1:6" x14ac:dyDescent="0.25">
      <c r="A52" s="17"/>
      <c r="B52" s="22">
        <v>47</v>
      </c>
      <c r="C52" s="11" t="s">
        <v>132</v>
      </c>
      <c r="D52" s="11" t="s">
        <v>133</v>
      </c>
      <c r="E52" s="11">
        <v>9819340045</v>
      </c>
      <c r="F52" s="25" t="s">
        <v>62</v>
      </c>
    </row>
    <row r="53" spans="1:6" x14ac:dyDescent="0.25">
      <c r="A53" s="17"/>
      <c r="B53" s="22">
        <v>48</v>
      </c>
      <c r="C53" s="11" t="s">
        <v>134</v>
      </c>
      <c r="D53" s="11" t="s">
        <v>135</v>
      </c>
      <c r="E53" s="11">
        <v>9321683863</v>
      </c>
      <c r="F53" s="25" t="s">
        <v>62</v>
      </c>
    </row>
    <row r="54" spans="1:6" x14ac:dyDescent="0.25">
      <c r="A54" s="17"/>
      <c r="B54" s="22">
        <v>49</v>
      </c>
      <c r="C54" s="11" t="s">
        <v>136</v>
      </c>
      <c r="D54" s="11" t="s">
        <v>137</v>
      </c>
      <c r="E54" s="11">
        <v>8976246676</v>
      </c>
      <c r="F54" s="25" t="s">
        <v>62</v>
      </c>
    </row>
    <row r="55" spans="1:6" x14ac:dyDescent="0.25">
      <c r="A55" s="17"/>
      <c r="B55" s="22">
        <v>50</v>
      </c>
      <c r="C55" s="11" t="s">
        <v>139</v>
      </c>
      <c r="D55" s="11" t="s">
        <v>140</v>
      </c>
      <c r="E55" s="11">
        <v>8591912972</v>
      </c>
      <c r="F55" s="25" t="s">
        <v>62</v>
      </c>
    </row>
    <row r="56" spans="1:6" x14ac:dyDescent="0.25">
      <c r="A56" s="17"/>
      <c r="B56" s="22">
        <v>51</v>
      </c>
      <c r="C56" s="11" t="s">
        <v>141</v>
      </c>
      <c r="D56" s="11" t="s">
        <v>142</v>
      </c>
      <c r="E56" s="11">
        <v>9082600984</v>
      </c>
      <c r="F56" s="25" t="s">
        <v>62</v>
      </c>
    </row>
    <row r="57" spans="1:6" x14ac:dyDescent="0.25">
      <c r="A57" s="17"/>
      <c r="B57" s="22">
        <v>52</v>
      </c>
      <c r="C57" s="11" t="s">
        <v>143</v>
      </c>
      <c r="D57" s="11" t="s">
        <v>144</v>
      </c>
      <c r="E57" s="11">
        <v>9325937071</v>
      </c>
      <c r="F57" s="25" t="s">
        <v>62</v>
      </c>
    </row>
    <row r="58" spans="1:6" x14ac:dyDescent="0.25">
      <c r="A58" s="17"/>
      <c r="B58" s="22">
        <v>53</v>
      </c>
      <c r="C58" s="11" t="s">
        <v>145</v>
      </c>
      <c r="D58" s="11" t="s">
        <v>146</v>
      </c>
      <c r="E58" s="11">
        <v>8369741372</v>
      </c>
      <c r="F58" s="25" t="s">
        <v>62</v>
      </c>
    </row>
    <row r="59" spans="1:6" x14ac:dyDescent="0.25">
      <c r="A59" s="17"/>
      <c r="B59" s="22">
        <v>54</v>
      </c>
      <c r="C59" s="11" t="s">
        <v>148</v>
      </c>
      <c r="D59" s="11" t="s">
        <v>149</v>
      </c>
      <c r="E59" s="11">
        <v>9769741223</v>
      </c>
      <c r="F59" s="25" t="s">
        <v>62</v>
      </c>
    </row>
    <row r="60" spans="1:6" x14ac:dyDescent="0.25">
      <c r="A60" s="17"/>
      <c r="B60" s="22">
        <v>55</v>
      </c>
      <c r="C60" s="11" t="s">
        <v>150</v>
      </c>
      <c r="D60" s="11" t="s">
        <v>151</v>
      </c>
      <c r="E60" s="11">
        <v>8767949474</v>
      </c>
      <c r="F60" s="25" t="s">
        <v>62</v>
      </c>
    </row>
    <row r="61" spans="1:6" x14ac:dyDescent="0.25">
      <c r="A61" s="17"/>
      <c r="B61" s="22">
        <v>56</v>
      </c>
      <c r="C61" s="11" t="s">
        <v>152</v>
      </c>
      <c r="D61" s="11" t="s">
        <v>153</v>
      </c>
      <c r="E61" s="11">
        <v>8108177441</v>
      </c>
      <c r="F61" s="25" t="s">
        <v>62</v>
      </c>
    </row>
    <row r="62" spans="1:6" x14ac:dyDescent="0.25">
      <c r="A62" s="17"/>
      <c r="B62" s="22">
        <v>57</v>
      </c>
      <c r="C62" s="11" t="s">
        <v>154</v>
      </c>
      <c r="D62" s="11" t="s">
        <v>155</v>
      </c>
      <c r="E62" s="11">
        <v>9653228849</v>
      </c>
      <c r="F62" s="25" t="s">
        <v>62</v>
      </c>
    </row>
    <row r="63" spans="1:6" x14ac:dyDescent="0.25">
      <c r="A63" s="17"/>
      <c r="B63" s="22">
        <v>58</v>
      </c>
      <c r="C63" s="11" t="s">
        <v>156</v>
      </c>
      <c r="D63" s="11" t="s">
        <v>157</v>
      </c>
      <c r="E63" s="11">
        <v>8879111540</v>
      </c>
      <c r="F63" s="25" t="s">
        <v>62</v>
      </c>
    </row>
    <row r="64" spans="1:6" x14ac:dyDescent="0.25">
      <c r="A64" s="17"/>
      <c r="B64" s="22">
        <v>59</v>
      </c>
      <c r="C64" s="11" t="s">
        <v>159</v>
      </c>
      <c r="D64" s="11" t="s">
        <v>160</v>
      </c>
      <c r="E64" s="11">
        <v>9137922617</v>
      </c>
      <c r="F64" s="25" t="s">
        <v>62</v>
      </c>
    </row>
    <row r="65" spans="1:6" x14ac:dyDescent="0.25">
      <c r="A65" s="17"/>
      <c r="B65" s="22">
        <v>60</v>
      </c>
      <c r="C65" s="11" t="s">
        <v>161</v>
      </c>
      <c r="D65" s="11" t="s">
        <v>162</v>
      </c>
      <c r="E65" s="11">
        <v>9930852966</v>
      </c>
      <c r="F65" s="25" t="s">
        <v>62</v>
      </c>
    </row>
    <row r="66" spans="1:6" x14ac:dyDescent="0.25">
      <c r="A66" s="17"/>
      <c r="B66" s="22">
        <v>61</v>
      </c>
      <c r="C66" s="11" t="s">
        <v>163</v>
      </c>
      <c r="D66" s="11" t="s">
        <v>164</v>
      </c>
      <c r="E66" s="11">
        <v>9930180889</v>
      </c>
      <c r="F66" s="25" t="s">
        <v>62</v>
      </c>
    </row>
    <row r="67" spans="1:6" x14ac:dyDescent="0.25">
      <c r="A67" s="17"/>
      <c r="B67" s="22">
        <v>62</v>
      </c>
      <c r="C67" s="11" t="s">
        <v>165</v>
      </c>
      <c r="D67" s="11" t="s">
        <v>166</v>
      </c>
      <c r="E67" s="11">
        <v>7021145043</v>
      </c>
      <c r="F67" s="25" t="s">
        <v>62</v>
      </c>
    </row>
    <row r="68" spans="1:6" x14ac:dyDescent="0.25">
      <c r="A68" s="17"/>
      <c r="B68" s="22">
        <v>63</v>
      </c>
      <c r="C68" s="11" t="s">
        <v>167</v>
      </c>
      <c r="D68" s="11" t="s">
        <v>168</v>
      </c>
      <c r="E68" s="11">
        <v>8169157085</v>
      </c>
      <c r="F68" s="25" t="s">
        <v>62</v>
      </c>
    </row>
    <row r="69" spans="1:6" x14ac:dyDescent="0.25">
      <c r="A69" s="17"/>
      <c r="B69" s="22">
        <v>64</v>
      </c>
      <c r="C69" s="11" t="s">
        <v>169</v>
      </c>
      <c r="D69" s="11" t="s">
        <v>170</v>
      </c>
      <c r="E69" s="11">
        <v>9822460453</v>
      </c>
      <c r="F69" s="25" t="s">
        <v>62</v>
      </c>
    </row>
    <row r="70" spans="1:6" x14ac:dyDescent="0.25">
      <c r="A70" s="17"/>
      <c r="B70" s="22">
        <v>65</v>
      </c>
      <c r="C70" s="11" t="s">
        <v>171</v>
      </c>
      <c r="D70" s="11" t="s">
        <v>172</v>
      </c>
      <c r="E70" s="11">
        <v>9987502452</v>
      </c>
      <c r="F70" s="25" t="s">
        <v>62</v>
      </c>
    </row>
    <row r="71" spans="1:6" x14ac:dyDescent="0.25">
      <c r="A71" s="17"/>
      <c r="B71" s="22">
        <v>66</v>
      </c>
      <c r="C71" s="11" t="s">
        <v>173</v>
      </c>
      <c r="D71" s="11" t="s">
        <v>174</v>
      </c>
      <c r="E71" s="11">
        <v>9076219025</v>
      </c>
      <c r="F71" s="25" t="s">
        <v>62</v>
      </c>
    </row>
    <row r="72" spans="1:6" x14ac:dyDescent="0.25">
      <c r="A72" s="17"/>
      <c r="B72" s="22">
        <v>67</v>
      </c>
      <c r="C72" s="11" t="s">
        <v>175</v>
      </c>
      <c r="D72" s="11" t="s">
        <v>176</v>
      </c>
      <c r="E72" s="11">
        <v>8369598970</v>
      </c>
      <c r="F72" s="25" t="s">
        <v>62</v>
      </c>
    </row>
    <row r="73" spans="1:6" x14ac:dyDescent="0.25">
      <c r="A73" s="17"/>
      <c r="B73" s="22">
        <v>68</v>
      </c>
      <c r="C73" s="11" t="s">
        <v>178</v>
      </c>
      <c r="D73" s="11" t="s">
        <v>179</v>
      </c>
      <c r="E73" s="11">
        <v>8928806126</v>
      </c>
      <c r="F73" s="25" t="s">
        <v>62</v>
      </c>
    </row>
    <row r="74" spans="1:6" x14ac:dyDescent="0.25">
      <c r="A74" s="17"/>
      <c r="B74" s="22">
        <v>69</v>
      </c>
      <c r="C74" s="11" t="s">
        <v>181</v>
      </c>
      <c r="D74" s="11" t="s">
        <v>182</v>
      </c>
      <c r="E74" s="11">
        <v>7039543590</v>
      </c>
      <c r="F74" s="25" t="s">
        <v>62</v>
      </c>
    </row>
    <row r="75" spans="1:6" x14ac:dyDescent="0.25">
      <c r="A75" s="17"/>
      <c r="B75" s="22">
        <v>70</v>
      </c>
      <c r="C75" s="11" t="s">
        <v>183</v>
      </c>
      <c r="D75" s="11" t="s">
        <v>184</v>
      </c>
      <c r="E75" s="11">
        <v>8104878731</v>
      </c>
      <c r="F75" s="25" t="s">
        <v>62</v>
      </c>
    </row>
    <row r="76" spans="1:6" x14ac:dyDescent="0.25">
      <c r="A76" s="17"/>
      <c r="B76" s="22">
        <v>71</v>
      </c>
      <c r="C76" s="11" t="s">
        <v>186</v>
      </c>
      <c r="D76" s="11" t="s">
        <v>187</v>
      </c>
      <c r="E76" s="11">
        <v>7718005697</v>
      </c>
      <c r="F76" s="25" t="s">
        <v>62</v>
      </c>
    </row>
    <row r="77" spans="1:6" x14ac:dyDescent="0.25">
      <c r="A77" s="17"/>
      <c r="B77" s="22">
        <v>72</v>
      </c>
      <c r="C77" s="11" t="s">
        <v>188</v>
      </c>
      <c r="D77" s="11" t="s">
        <v>189</v>
      </c>
      <c r="E77" s="11">
        <v>7007079982</v>
      </c>
      <c r="F77" s="25" t="s">
        <v>62</v>
      </c>
    </row>
    <row r="78" spans="1:6" x14ac:dyDescent="0.25">
      <c r="A78" s="17"/>
      <c r="B78" s="22">
        <v>73</v>
      </c>
      <c r="C78" s="11" t="s">
        <v>190</v>
      </c>
      <c r="D78" s="11" t="s">
        <v>191</v>
      </c>
      <c r="E78" s="11">
        <v>8446930409</v>
      </c>
      <c r="F78" s="25" t="s">
        <v>62</v>
      </c>
    </row>
    <row r="79" spans="1:6" x14ac:dyDescent="0.25">
      <c r="A79" s="17"/>
      <c r="B79" s="22">
        <v>74</v>
      </c>
      <c r="C79" s="11" t="s">
        <v>193</v>
      </c>
      <c r="D79" s="11" t="s">
        <v>194</v>
      </c>
      <c r="E79" s="11">
        <v>8169258932</v>
      </c>
      <c r="F79" s="25" t="s">
        <v>62</v>
      </c>
    </row>
    <row r="80" spans="1:6" x14ac:dyDescent="0.25">
      <c r="A80" s="17"/>
      <c r="B80" s="22">
        <v>75</v>
      </c>
      <c r="C80" s="11" t="s">
        <v>195</v>
      </c>
      <c r="D80" s="11" t="s">
        <v>196</v>
      </c>
      <c r="E80" s="11">
        <v>9372237518</v>
      </c>
      <c r="F80" s="25" t="s">
        <v>62</v>
      </c>
    </row>
    <row r="81" spans="1:6" x14ac:dyDescent="0.25">
      <c r="A81" s="17"/>
      <c r="B81" s="22">
        <v>76</v>
      </c>
      <c r="C81" s="11" t="s">
        <v>198</v>
      </c>
      <c r="D81" s="11" t="s">
        <v>199</v>
      </c>
      <c r="E81" s="11">
        <v>7666013172</v>
      </c>
      <c r="F81" s="25" t="s">
        <v>62</v>
      </c>
    </row>
    <row r="82" spans="1:6" x14ac:dyDescent="0.25">
      <c r="A82" s="17"/>
      <c r="B82" s="22">
        <v>77</v>
      </c>
      <c r="C82" s="11" t="s">
        <v>201</v>
      </c>
      <c r="D82" s="11" t="s">
        <v>202</v>
      </c>
      <c r="E82" s="11">
        <v>8928029700</v>
      </c>
      <c r="F82" s="25" t="s">
        <v>62</v>
      </c>
    </row>
    <row r="83" spans="1:6" x14ac:dyDescent="0.25">
      <c r="B83" s="22">
        <v>78</v>
      </c>
      <c r="C83" s="32" t="s">
        <v>204</v>
      </c>
      <c r="D83" s="32" t="s">
        <v>205</v>
      </c>
      <c r="E83" s="32">
        <v>8850811196</v>
      </c>
      <c r="F83" s="33" t="s">
        <v>62</v>
      </c>
    </row>
    <row r="84" spans="1:6" x14ac:dyDescent="0.25">
      <c r="A84" s="17"/>
      <c r="B84" s="22">
        <v>79</v>
      </c>
      <c r="C84" s="11" t="s">
        <v>206</v>
      </c>
      <c r="D84" s="11" t="s">
        <v>207</v>
      </c>
      <c r="E84" s="11">
        <v>8291329439</v>
      </c>
      <c r="F84" s="25" t="s">
        <v>62</v>
      </c>
    </row>
    <row r="85" spans="1:6" x14ac:dyDescent="0.25">
      <c r="A85" s="17"/>
      <c r="B85" s="22">
        <v>80</v>
      </c>
      <c r="C85" s="11" t="s">
        <v>208</v>
      </c>
      <c r="D85" s="11" t="s">
        <v>209</v>
      </c>
      <c r="E85" s="11">
        <v>9321727748</v>
      </c>
      <c r="F85" s="25" t="s">
        <v>62</v>
      </c>
    </row>
    <row r="86" spans="1:6" x14ac:dyDescent="0.25">
      <c r="A86" s="17"/>
      <c r="B86" s="22">
        <v>81</v>
      </c>
      <c r="C86" s="11" t="s">
        <v>210</v>
      </c>
      <c r="D86" s="11" t="s">
        <v>211</v>
      </c>
      <c r="E86" s="11">
        <v>8087508532</v>
      </c>
      <c r="F86" s="25" t="s">
        <v>62</v>
      </c>
    </row>
    <row r="87" spans="1:6" x14ac:dyDescent="0.25">
      <c r="A87" s="17"/>
      <c r="B87" s="22">
        <v>82</v>
      </c>
      <c r="C87" s="11" t="s">
        <v>212</v>
      </c>
      <c r="D87" s="11" t="s">
        <v>213</v>
      </c>
      <c r="E87" s="11" t="s">
        <v>214</v>
      </c>
      <c r="F87" s="25" t="s">
        <v>62</v>
      </c>
    </row>
    <row r="88" spans="1:6" x14ac:dyDescent="0.25">
      <c r="A88" s="17"/>
      <c r="B88" s="22">
        <v>83</v>
      </c>
      <c r="C88" s="11" t="s">
        <v>215</v>
      </c>
      <c r="D88" s="11" t="s">
        <v>216</v>
      </c>
      <c r="E88" s="11">
        <v>9022237048</v>
      </c>
      <c r="F88" s="25" t="s">
        <v>62</v>
      </c>
    </row>
    <row r="89" spans="1:6" x14ac:dyDescent="0.25">
      <c r="A89" s="17"/>
      <c r="B89" s="22">
        <v>84</v>
      </c>
      <c r="C89" s="11" t="s">
        <v>217</v>
      </c>
      <c r="D89" s="11" t="s">
        <v>218</v>
      </c>
      <c r="E89" s="11">
        <v>7045468665</v>
      </c>
      <c r="F89" s="25" t="s">
        <v>62</v>
      </c>
    </row>
    <row r="90" spans="1:6" x14ac:dyDescent="0.25">
      <c r="A90" s="17"/>
      <c r="B90" s="22">
        <v>85</v>
      </c>
      <c r="C90" s="11" t="s">
        <v>219</v>
      </c>
      <c r="D90" s="11" t="s">
        <v>220</v>
      </c>
      <c r="E90" s="11">
        <v>7977687802</v>
      </c>
      <c r="F90" s="25" t="s">
        <v>62</v>
      </c>
    </row>
    <row r="91" spans="1:6" x14ac:dyDescent="0.25">
      <c r="A91" s="17"/>
      <c r="B91" s="22">
        <v>86</v>
      </c>
      <c r="C91" s="11" t="s">
        <v>221</v>
      </c>
      <c r="D91" s="11" t="s">
        <v>222</v>
      </c>
      <c r="E91" s="11">
        <v>8591929196</v>
      </c>
      <c r="F91" s="25" t="s">
        <v>62</v>
      </c>
    </row>
    <row r="92" spans="1:6" x14ac:dyDescent="0.25">
      <c r="A92" s="17"/>
      <c r="B92" s="22">
        <v>87</v>
      </c>
      <c r="C92" s="11" t="s">
        <v>224</v>
      </c>
      <c r="D92" s="11" t="s">
        <v>225</v>
      </c>
      <c r="E92" s="11">
        <v>8850658323</v>
      </c>
      <c r="F92" s="25" t="s">
        <v>62</v>
      </c>
    </row>
    <row r="93" spans="1:6" x14ac:dyDescent="0.25">
      <c r="A93" s="17"/>
      <c r="B93" s="22">
        <v>88</v>
      </c>
      <c r="C93" s="11" t="s">
        <v>226</v>
      </c>
      <c r="D93" s="11" t="s">
        <v>227</v>
      </c>
      <c r="E93" s="11">
        <v>8169003379</v>
      </c>
      <c r="F93" s="25" t="s">
        <v>62</v>
      </c>
    </row>
    <row r="94" spans="1:6" x14ac:dyDescent="0.25">
      <c r="A94" s="17"/>
      <c r="B94" s="22">
        <v>89</v>
      </c>
      <c r="C94" s="11" t="s">
        <v>228</v>
      </c>
      <c r="D94" s="11" t="s">
        <v>229</v>
      </c>
      <c r="E94" s="11">
        <v>8252495040</v>
      </c>
      <c r="F94" s="25" t="s">
        <v>62</v>
      </c>
    </row>
    <row r="95" spans="1:6" x14ac:dyDescent="0.25">
      <c r="A95" s="17"/>
      <c r="B95" s="22">
        <v>90</v>
      </c>
      <c r="C95" s="11" t="s">
        <v>230</v>
      </c>
      <c r="D95" s="11" t="s">
        <v>231</v>
      </c>
      <c r="E95" s="11">
        <v>7385636493</v>
      </c>
      <c r="F95" s="25" t="s">
        <v>62</v>
      </c>
    </row>
    <row r="96" spans="1:6" x14ac:dyDescent="0.25">
      <c r="A96" s="17"/>
      <c r="B96" s="22">
        <v>91</v>
      </c>
      <c r="C96" s="11" t="s">
        <v>232</v>
      </c>
      <c r="D96" s="11" t="s">
        <v>233</v>
      </c>
      <c r="E96" s="11">
        <v>8104852325</v>
      </c>
      <c r="F96" s="25" t="s">
        <v>62</v>
      </c>
    </row>
    <row r="97" spans="1:6" x14ac:dyDescent="0.25">
      <c r="A97" s="17"/>
      <c r="B97" s="22">
        <v>92</v>
      </c>
      <c r="C97" s="11" t="s">
        <v>234</v>
      </c>
      <c r="D97" s="11" t="s">
        <v>235</v>
      </c>
      <c r="E97" s="11">
        <v>7977256070</v>
      </c>
      <c r="F97" s="25" t="s">
        <v>62</v>
      </c>
    </row>
    <row r="98" spans="1:6" x14ac:dyDescent="0.25">
      <c r="A98" s="17"/>
      <c r="B98" s="22">
        <v>93</v>
      </c>
      <c r="C98" s="11" t="s">
        <v>236</v>
      </c>
      <c r="D98" s="11" t="s">
        <v>237</v>
      </c>
      <c r="E98" s="11">
        <v>8369739966</v>
      </c>
      <c r="F98" s="25" t="s">
        <v>62</v>
      </c>
    </row>
    <row r="99" spans="1:6" x14ac:dyDescent="0.25">
      <c r="A99" s="17"/>
      <c r="B99" s="22">
        <v>94</v>
      </c>
      <c r="C99" s="11" t="s">
        <v>238</v>
      </c>
      <c r="D99" s="11" t="s">
        <v>239</v>
      </c>
      <c r="E99" s="11">
        <v>9769197130</v>
      </c>
      <c r="F99" s="25" t="s">
        <v>62</v>
      </c>
    </row>
    <row r="100" spans="1:6" x14ac:dyDescent="0.25">
      <c r="A100" s="17"/>
      <c r="B100" s="22">
        <v>95</v>
      </c>
      <c r="C100" s="11" t="s">
        <v>242</v>
      </c>
      <c r="D100" s="11" t="s">
        <v>243</v>
      </c>
      <c r="E100" s="11">
        <v>9136134339</v>
      </c>
      <c r="F100" s="25" t="s">
        <v>62</v>
      </c>
    </row>
    <row r="101" spans="1:6" x14ac:dyDescent="0.25">
      <c r="A101" s="17"/>
      <c r="B101" s="22">
        <v>96</v>
      </c>
      <c r="C101" s="11" t="s">
        <v>244</v>
      </c>
      <c r="D101" s="11" t="s">
        <v>245</v>
      </c>
      <c r="E101" s="11">
        <v>9172992100</v>
      </c>
      <c r="F101" s="25" t="s">
        <v>246</v>
      </c>
    </row>
    <row r="102" spans="1:6" x14ac:dyDescent="0.25">
      <c r="A102" s="17"/>
      <c r="B102" s="22">
        <v>97</v>
      </c>
      <c r="C102" s="11" t="s">
        <v>247</v>
      </c>
      <c r="D102" s="11" t="s">
        <v>248</v>
      </c>
      <c r="E102" s="11">
        <v>7304725048</v>
      </c>
      <c r="F102" s="25" t="s">
        <v>246</v>
      </c>
    </row>
    <row r="103" spans="1:6" x14ac:dyDescent="0.25">
      <c r="A103" s="17"/>
      <c r="B103" s="22">
        <v>98</v>
      </c>
      <c r="C103" s="11" t="s">
        <v>249</v>
      </c>
      <c r="D103" s="11" t="s">
        <v>250</v>
      </c>
      <c r="E103" s="11">
        <v>9021869940</v>
      </c>
      <c r="F103" s="25" t="s">
        <v>246</v>
      </c>
    </row>
    <row r="104" spans="1:6" x14ac:dyDescent="0.25">
      <c r="A104" s="17"/>
      <c r="B104" s="22">
        <v>99</v>
      </c>
      <c r="C104" s="11" t="s">
        <v>251</v>
      </c>
      <c r="D104" s="11" t="s">
        <v>252</v>
      </c>
      <c r="E104" s="11">
        <v>9594093061</v>
      </c>
      <c r="F104" s="25" t="s">
        <v>246</v>
      </c>
    </row>
    <row r="105" spans="1:6" x14ac:dyDescent="0.25">
      <c r="A105" s="17"/>
      <c r="B105" s="22">
        <v>100</v>
      </c>
      <c r="C105" s="11" t="s">
        <v>253</v>
      </c>
      <c r="D105" s="11" t="s">
        <v>254</v>
      </c>
      <c r="E105" s="11">
        <v>9324957911</v>
      </c>
      <c r="F105" s="25" t="s">
        <v>246</v>
      </c>
    </row>
    <row r="106" spans="1:6" x14ac:dyDescent="0.25">
      <c r="A106" s="17"/>
      <c r="B106" s="22">
        <v>101</v>
      </c>
      <c r="C106" s="11" t="s">
        <v>255</v>
      </c>
      <c r="D106" s="11" t="s">
        <v>256</v>
      </c>
      <c r="E106" s="11">
        <v>8657656240</v>
      </c>
      <c r="F106" s="25" t="s">
        <v>246</v>
      </c>
    </row>
    <row r="107" spans="1:6" x14ac:dyDescent="0.25">
      <c r="A107" s="17"/>
      <c r="B107" s="22">
        <v>102</v>
      </c>
      <c r="C107" s="11" t="s">
        <v>257</v>
      </c>
      <c r="D107" s="11" t="s">
        <v>258</v>
      </c>
      <c r="E107" s="11" t="s">
        <v>259</v>
      </c>
      <c r="F107" s="25" t="s">
        <v>246</v>
      </c>
    </row>
    <row r="108" spans="1:6" x14ac:dyDescent="0.25">
      <c r="A108" s="17"/>
      <c r="B108" s="22">
        <v>103</v>
      </c>
      <c r="C108" s="11" t="s">
        <v>261</v>
      </c>
      <c r="D108" s="11" t="s">
        <v>262</v>
      </c>
      <c r="E108" s="11">
        <v>9082091556</v>
      </c>
      <c r="F108" s="25" t="s">
        <v>246</v>
      </c>
    </row>
    <row r="109" spans="1:6" x14ac:dyDescent="0.25">
      <c r="A109" s="17"/>
      <c r="B109" s="22">
        <v>104</v>
      </c>
      <c r="C109" s="11" t="s">
        <v>263</v>
      </c>
      <c r="D109" s="11" t="s">
        <v>264</v>
      </c>
      <c r="E109" s="11">
        <v>8604538806</v>
      </c>
      <c r="F109" s="25" t="s">
        <v>246</v>
      </c>
    </row>
    <row r="110" spans="1:6" x14ac:dyDescent="0.25">
      <c r="A110" s="17"/>
      <c r="B110" s="22">
        <v>105</v>
      </c>
      <c r="C110" s="11" t="s">
        <v>265</v>
      </c>
      <c r="D110" s="11" t="s">
        <v>266</v>
      </c>
      <c r="E110" s="11">
        <v>7004704336</v>
      </c>
      <c r="F110" s="25" t="s">
        <v>246</v>
      </c>
    </row>
    <row r="111" spans="1:6" x14ac:dyDescent="0.25">
      <c r="A111" s="17"/>
      <c r="B111" s="22">
        <v>106</v>
      </c>
      <c r="C111" s="11" t="s">
        <v>267</v>
      </c>
      <c r="D111" s="11" t="s">
        <v>268</v>
      </c>
      <c r="E111" s="11">
        <v>9076440709</v>
      </c>
      <c r="F111" s="25" t="s">
        <v>246</v>
      </c>
    </row>
    <row r="112" spans="1:6" x14ac:dyDescent="0.25">
      <c r="A112" s="17"/>
      <c r="B112" s="22">
        <v>107</v>
      </c>
      <c r="C112" s="11" t="s">
        <v>270</v>
      </c>
      <c r="D112" s="11" t="s">
        <v>271</v>
      </c>
      <c r="E112" s="11">
        <v>7276952151</v>
      </c>
      <c r="F112" s="25" t="s">
        <v>246</v>
      </c>
    </row>
    <row r="113" spans="1:6" x14ac:dyDescent="0.25">
      <c r="A113" s="17"/>
      <c r="B113" s="22">
        <v>108</v>
      </c>
      <c r="C113" s="11" t="s">
        <v>272</v>
      </c>
      <c r="D113" s="11" t="s">
        <v>273</v>
      </c>
      <c r="E113" s="11">
        <v>9082413633</v>
      </c>
      <c r="F113" s="25" t="s">
        <v>246</v>
      </c>
    </row>
    <row r="114" spans="1:6" x14ac:dyDescent="0.25">
      <c r="A114" s="17"/>
      <c r="B114" s="22">
        <v>109</v>
      </c>
      <c r="C114" s="11" t="s">
        <v>274</v>
      </c>
      <c r="D114" s="11" t="s">
        <v>275</v>
      </c>
      <c r="E114" s="11">
        <v>9769697836</v>
      </c>
      <c r="F114" s="25" t="s">
        <v>246</v>
      </c>
    </row>
    <row r="115" spans="1:6" x14ac:dyDescent="0.25">
      <c r="A115" s="17"/>
      <c r="B115" s="22">
        <v>110</v>
      </c>
      <c r="C115" s="11" t="s">
        <v>276</v>
      </c>
      <c r="D115" s="11" t="s">
        <v>277</v>
      </c>
      <c r="E115" s="11">
        <v>9702736674</v>
      </c>
      <c r="F115" s="25" t="s">
        <v>246</v>
      </c>
    </row>
    <row r="116" spans="1:6" x14ac:dyDescent="0.25">
      <c r="A116" s="17"/>
      <c r="B116" s="22">
        <v>111</v>
      </c>
      <c r="C116" s="11" t="s">
        <v>278</v>
      </c>
      <c r="D116" s="11" t="s">
        <v>279</v>
      </c>
      <c r="E116" s="11">
        <v>8424849235</v>
      </c>
      <c r="F116" s="25" t="s">
        <v>246</v>
      </c>
    </row>
    <row r="117" spans="1:6" x14ac:dyDescent="0.25">
      <c r="A117" s="17"/>
      <c r="B117" s="22">
        <v>112</v>
      </c>
      <c r="C117" s="11" t="s">
        <v>280</v>
      </c>
      <c r="D117" s="11" t="s">
        <v>281</v>
      </c>
      <c r="E117" s="11">
        <v>9372970230</v>
      </c>
      <c r="F117" s="25" t="s">
        <v>246</v>
      </c>
    </row>
    <row r="118" spans="1:6" x14ac:dyDescent="0.25">
      <c r="A118" s="17"/>
      <c r="B118" s="22">
        <v>113</v>
      </c>
      <c r="C118" s="11" t="s">
        <v>282</v>
      </c>
      <c r="D118" s="11" t="s">
        <v>283</v>
      </c>
      <c r="E118" s="11">
        <v>8369603718</v>
      </c>
      <c r="F118" s="25" t="s">
        <v>246</v>
      </c>
    </row>
    <row r="119" spans="1:6" x14ac:dyDescent="0.25">
      <c r="A119" s="17"/>
      <c r="B119" s="22">
        <v>114</v>
      </c>
      <c r="C119" s="11" t="s">
        <v>284</v>
      </c>
      <c r="D119" s="11" t="s">
        <v>285</v>
      </c>
      <c r="E119" s="11">
        <v>8928972578</v>
      </c>
      <c r="F119" s="25" t="s">
        <v>246</v>
      </c>
    </row>
    <row r="120" spans="1:6" x14ac:dyDescent="0.25">
      <c r="A120" s="17"/>
      <c r="B120" s="22">
        <v>115</v>
      </c>
      <c r="C120" s="11" t="s">
        <v>286</v>
      </c>
      <c r="D120" s="11" t="s">
        <v>287</v>
      </c>
      <c r="E120" s="11">
        <v>7030988998</v>
      </c>
      <c r="F120" s="25" t="s">
        <v>246</v>
      </c>
    </row>
    <row r="121" spans="1:6" x14ac:dyDescent="0.25">
      <c r="A121" s="17"/>
      <c r="B121" s="22">
        <v>116</v>
      </c>
      <c r="C121" s="11" t="s">
        <v>289</v>
      </c>
      <c r="D121" s="11" t="s">
        <v>290</v>
      </c>
      <c r="E121" s="11">
        <v>7208178218</v>
      </c>
      <c r="F121" s="25" t="s">
        <v>246</v>
      </c>
    </row>
    <row r="122" spans="1:6" x14ac:dyDescent="0.25">
      <c r="A122" s="17"/>
      <c r="B122" s="22">
        <v>117</v>
      </c>
      <c r="C122" s="11" t="s">
        <v>292</v>
      </c>
      <c r="D122" s="11" t="s">
        <v>293</v>
      </c>
      <c r="E122" s="11">
        <v>9136103276</v>
      </c>
      <c r="F122" s="25" t="s">
        <v>246</v>
      </c>
    </row>
    <row r="123" spans="1:6" x14ac:dyDescent="0.25">
      <c r="A123" s="17"/>
      <c r="B123" s="22">
        <v>118</v>
      </c>
      <c r="C123" s="11" t="s">
        <v>294</v>
      </c>
      <c r="D123" s="11" t="s">
        <v>295</v>
      </c>
      <c r="E123" s="11">
        <v>8657734516</v>
      </c>
      <c r="F123" s="25" t="s">
        <v>246</v>
      </c>
    </row>
    <row r="124" spans="1:6" x14ac:dyDescent="0.25">
      <c r="A124" s="17"/>
      <c r="B124" s="22">
        <v>119</v>
      </c>
      <c r="C124" s="11" t="s">
        <v>296</v>
      </c>
      <c r="D124" s="11" t="s">
        <v>297</v>
      </c>
      <c r="E124" s="11">
        <v>9136799394</v>
      </c>
      <c r="F124" s="25" t="s">
        <v>246</v>
      </c>
    </row>
    <row r="125" spans="1:6" x14ac:dyDescent="0.25">
      <c r="A125" s="17"/>
      <c r="B125" s="22">
        <v>120</v>
      </c>
      <c r="C125" s="11" t="s">
        <v>298</v>
      </c>
      <c r="D125" s="11" t="s">
        <v>299</v>
      </c>
      <c r="E125" s="11">
        <v>8108921431</v>
      </c>
      <c r="F125" s="25" t="s">
        <v>246</v>
      </c>
    </row>
    <row r="126" spans="1:6" x14ac:dyDescent="0.25">
      <c r="A126" s="17"/>
      <c r="B126" s="22">
        <v>121</v>
      </c>
      <c r="C126" s="11" t="s">
        <v>300</v>
      </c>
      <c r="D126" s="11" t="s">
        <v>301</v>
      </c>
      <c r="E126" s="11">
        <v>8169709655</v>
      </c>
      <c r="F126" s="25" t="s">
        <v>246</v>
      </c>
    </row>
    <row r="127" spans="1:6" x14ac:dyDescent="0.25">
      <c r="A127" s="17"/>
      <c r="B127" s="22">
        <v>122</v>
      </c>
      <c r="C127" s="11" t="s">
        <v>302</v>
      </c>
      <c r="D127" s="11" t="s">
        <v>303</v>
      </c>
      <c r="E127" s="11">
        <v>9769361792</v>
      </c>
      <c r="F127" s="25" t="s">
        <v>246</v>
      </c>
    </row>
    <row r="128" spans="1:6" x14ac:dyDescent="0.25">
      <c r="B128" s="22">
        <v>123</v>
      </c>
      <c r="C128" s="30" t="s">
        <v>304</v>
      </c>
      <c r="D128" s="30" t="s">
        <v>305</v>
      </c>
      <c r="E128" s="30">
        <v>7208691340</v>
      </c>
      <c r="F128" s="31" t="s">
        <v>246</v>
      </c>
    </row>
    <row r="129" spans="2:6" x14ac:dyDescent="0.25">
      <c r="B129" s="22">
        <v>124</v>
      </c>
      <c r="C129" s="11" t="s">
        <v>307</v>
      </c>
      <c r="D129" s="11" t="s">
        <v>308</v>
      </c>
      <c r="E129" s="11">
        <v>9221679407</v>
      </c>
      <c r="F129" s="25" t="s">
        <v>246</v>
      </c>
    </row>
    <row r="130" spans="2:6" x14ac:dyDescent="0.25">
      <c r="B130" s="22">
        <v>125</v>
      </c>
      <c r="C130" s="11" t="s">
        <v>309</v>
      </c>
      <c r="D130" s="11" t="s">
        <v>310</v>
      </c>
      <c r="E130" s="11" t="s">
        <v>311</v>
      </c>
      <c r="F130" s="25" t="s">
        <v>246</v>
      </c>
    </row>
    <row r="131" spans="2:6" x14ac:dyDescent="0.25">
      <c r="B131" s="22">
        <v>126</v>
      </c>
      <c r="C131" s="11" t="s">
        <v>312</v>
      </c>
      <c r="D131" s="11" t="s">
        <v>313</v>
      </c>
      <c r="E131" s="11">
        <v>7304610280</v>
      </c>
      <c r="F131" s="25" t="s">
        <v>246</v>
      </c>
    </row>
    <row r="132" spans="2:6" x14ac:dyDescent="0.25">
      <c r="B132" s="22">
        <v>127</v>
      </c>
      <c r="C132" s="11" t="s">
        <v>314</v>
      </c>
      <c r="D132" s="11" t="s">
        <v>315</v>
      </c>
      <c r="E132" s="11">
        <v>9967443912</v>
      </c>
      <c r="F132" s="25" t="s">
        <v>246</v>
      </c>
    </row>
    <row r="133" spans="2:6" x14ac:dyDescent="0.25">
      <c r="B133" s="22">
        <v>128</v>
      </c>
      <c r="C133" s="11" t="s">
        <v>317</v>
      </c>
      <c r="D133" s="11" t="s">
        <v>318</v>
      </c>
      <c r="E133" s="11">
        <v>8850479642</v>
      </c>
      <c r="F133" s="25" t="s">
        <v>246</v>
      </c>
    </row>
    <row r="134" spans="2:6" x14ac:dyDescent="0.25">
      <c r="B134" s="22">
        <v>129</v>
      </c>
      <c r="C134" s="11" t="s">
        <v>319</v>
      </c>
      <c r="D134" s="11" t="s">
        <v>320</v>
      </c>
      <c r="E134" s="11">
        <v>9892222117</v>
      </c>
      <c r="F134" s="25" t="s">
        <v>246</v>
      </c>
    </row>
    <row r="135" spans="2:6" x14ac:dyDescent="0.25">
      <c r="B135" s="22">
        <v>130</v>
      </c>
      <c r="C135" s="11" t="s">
        <v>321</v>
      </c>
      <c r="D135" s="11" t="s">
        <v>322</v>
      </c>
      <c r="E135" s="11">
        <v>7021025958</v>
      </c>
      <c r="F135" s="25" t="s">
        <v>246</v>
      </c>
    </row>
    <row r="136" spans="2:6" x14ac:dyDescent="0.25">
      <c r="B136" s="22">
        <v>131</v>
      </c>
      <c r="C136" s="11" t="s">
        <v>323</v>
      </c>
      <c r="D136" s="11" t="s">
        <v>324</v>
      </c>
      <c r="E136" s="11">
        <v>8591915445</v>
      </c>
      <c r="F136" s="25" t="s">
        <v>246</v>
      </c>
    </row>
    <row r="137" spans="2:6" x14ac:dyDescent="0.25">
      <c r="B137" s="22">
        <v>132</v>
      </c>
      <c r="C137" s="11" t="s">
        <v>326</v>
      </c>
      <c r="D137" s="11" t="s">
        <v>327</v>
      </c>
      <c r="E137" s="11">
        <v>9421167547</v>
      </c>
      <c r="F137" s="25" t="s">
        <v>246</v>
      </c>
    </row>
    <row r="138" spans="2:6" x14ac:dyDescent="0.25">
      <c r="B138" s="22">
        <v>133</v>
      </c>
      <c r="C138" s="11" t="s">
        <v>328</v>
      </c>
      <c r="D138" s="11" t="s">
        <v>329</v>
      </c>
      <c r="E138" s="11">
        <v>7039376721</v>
      </c>
      <c r="F138" s="25" t="s">
        <v>246</v>
      </c>
    </row>
    <row r="139" spans="2:6" x14ac:dyDescent="0.25">
      <c r="B139" s="22">
        <v>134</v>
      </c>
      <c r="C139" s="11" t="s">
        <v>330</v>
      </c>
      <c r="D139" s="11" t="s">
        <v>331</v>
      </c>
      <c r="E139" s="11">
        <v>9372740126</v>
      </c>
      <c r="F139" s="25" t="s">
        <v>246</v>
      </c>
    </row>
    <row r="140" spans="2:6" x14ac:dyDescent="0.25">
      <c r="B140" s="22">
        <v>135</v>
      </c>
      <c r="C140" s="11" t="s">
        <v>332</v>
      </c>
      <c r="D140" s="11" t="s">
        <v>333</v>
      </c>
      <c r="E140" s="11">
        <v>8928864761</v>
      </c>
      <c r="F140" s="25" t="s">
        <v>246</v>
      </c>
    </row>
    <row r="141" spans="2:6" x14ac:dyDescent="0.25">
      <c r="B141" s="22">
        <v>136</v>
      </c>
      <c r="C141" s="11" t="s">
        <v>180</v>
      </c>
      <c r="D141" s="11" t="s">
        <v>185</v>
      </c>
      <c r="E141" s="11">
        <v>9987923493</v>
      </c>
      <c r="F141" s="25" t="s">
        <v>192</v>
      </c>
    </row>
    <row r="142" spans="2:6" x14ac:dyDescent="0.25">
      <c r="B142" s="22">
        <v>137</v>
      </c>
      <c r="C142" s="11" t="s">
        <v>336</v>
      </c>
      <c r="D142" s="11" t="s">
        <v>337</v>
      </c>
      <c r="E142" s="11">
        <v>8779982858</v>
      </c>
      <c r="F142" s="25" t="s">
        <v>192</v>
      </c>
    </row>
    <row r="143" spans="2:6" x14ac:dyDescent="0.25">
      <c r="B143" s="22">
        <v>138</v>
      </c>
      <c r="C143" s="11" t="s">
        <v>338</v>
      </c>
      <c r="D143" s="11" t="s">
        <v>339</v>
      </c>
      <c r="E143" s="11">
        <v>9370895011</v>
      </c>
      <c r="F143" s="25" t="s">
        <v>192</v>
      </c>
    </row>
    <row r="144" spans="2:6" x14ac:dyDescent="0.25">
      <c r="B144" s="22">
        <v>139</v>
      </c>
      <c r="C144" s="11" t="s">
        <v>340</v>
      </c>
      <c r="D144" s="11" t="s">
        <v>341</v>
      </c>
      <c r="E144" s="11">
        <v>9156680305</v>
      </c>
      <c r="F144" s="25" t="s">
        <v>192</v>
      </c>
    </row>
    <row r="145" spans="2:12" x14ac:dyDescent="0.25">
      <c r="B145" s="22">
        <v>140</v>
      </c>
      <c r="C145" s="11" t="s">
        <v>342</v>
      </c>
      <c r="D145" s="11" t="s">
        <v>343</v>
      </c>
      <c r="E145" s="11">
        <v>8108362135</v>
      </c>
      <c r="F145" s="25" t="s">
        <v>192</v>
      </c>
    </row>
    <row r="146" spans="2:12" x14ac:dyDescent="0.25">
      <c r="B146" s="22">
        <v>141</v>
      </c>
      <c r="C146" s="11" t="s">
        <v>344</v>
      </c>
      <c r="D146" s="11" t="s">
        <v>345</v>
      </c>
      <c r="E146" s="11">
        <v>8108470263</v>
      </c>
      <c r="F146" s="25" t="s">
        <v>192</v>
      </c>
    </row>
    <row r="147" spans="2:12" x14ac:dyDescent="0.25">
      <c r="B147" s="22">
        <v>142</v>
      </c>
      <c r="C147" s="11" t="s">
        <v>346</v>
      </c>
      <c r="D147" s="11" t="s">
        <v>347</v>
      </c>
      <c r="E147" s="11">
        <v>8169347565</v>
      </c>
      <c r="F147" s="25" t="s">
        <v>192</v>
      </c>
    </row>
    <row r="148" spans="2:12" x14ac:dyDescent="0.25">
      <c r="B148" s="22">
        <v>143</v>
      </c>
      <c r="C148" s="11" t="s">
        <v>348</v>
      </c>
      <c r="D148" s="11" t="s">
        <v>349</v>
      </c>
      <c r="E148" s="11">
        <v>9326899522</v>
      </c>
      <c r="F148" s="25" t="s">
        <v>192</v>
      </c>
    </row>
    <row r="149" spans="2:12" x14ac:dyDescent="0.25">
      <c r="B149" s="22">
        <v>144</v>
      </c>
      <c r="C149" s="11" t="s">
        <v>350</v>
      </c>
      <c r="D149" s="11" t="s">
        <v>351</v>
      </c>
      <c r="E149" s="11">
        <v>9321650356</v>
      </c>
      <c r="F149" s="25" t="s">
        <v>192</v>
      </c>
    </row>
    <row r="150" spans="2:12" x14ac:dyDescent="0.25">
      <c r="B150" s="22">
        <v>145</v>
      </c>
      <c r="C150" s="11" t="s">
        <v>352</v>
      </c>
      <c r="D150" s="11" t="s">
        <v>353</v>
      </c>
      <c r="E150" s="11">
        <v>9967825092</v>
      </c>
      <c r="F150" s="25" t="s">
        <v>192</v>
      </c>
    </row>
    <row r="151" spans="2:12" x14ac:dyDescent="0.25">
      <c r="B151" s="22">
        <v>146</v>
      </c>
      <c r="C151" s="11" t="s">
        <v>354</v>
      </c>
      <c r="D151" s="11" t="s">
        <v>355</v>
      </c>
      <c r="E151" s="11">
        <v>9822240877</v>
      </c>
      <c r="F151" s="25" t="s">
        <v>192</v>
      </c>
    </row>
    <row r="152" spans="2:12" x14ac:dyDescent="0.25">
      <c r="B152" s="22">
        <v>147</v>
      </c>
      <c r="C152" s="11" t="s">
        <v>356</v>
      </c>
      <c r="D152" s="11" t="s">
        <v>357</v>
      </c>
      <c r="E152" s="11">
        <v>7021646554</v>
      </c>
      <c r="F152" s="25" t="s">
        <v>192</v>
      </c>
    </row>
    <row r="153" spans="2:12" x14ac:dyDescent="0.25">
      <c r="B153" s="22">
        <v>148</v>
      </c>
      <c r="C153" s="11" t="s">
        <v>359</v>
      </c>
      <c r="D153" s="11" t="s">
        <v>360</v>
      </c>
      <c r="E153" s="11">
        <v>8828593750</v>
      </c>
      <c r="F153" s="25" t="s">
        <v>192</v>
      </c>
    </row>
    <row r="154" spans="2:12" x14ac:dyDescent="0.25">
      <c r="B154" s="22">
        <v>149</v>
      </c>
      <c r="C154" s="11" t="s">
        <v>361</v>
      </c>
      <c r="D154" s="11" t="s">
        <v>362</v>
      </c>
      <c r="E154" s="11">
        <v>8591733255</v>
      </c>
      <c r="F154" s="25" t="s">
        <v>192</v>
      </c>
    </row>
    <row r="155" spans="2:12" x14ac:dyDescent="0.25">
      <c r="B155" s="22">
        <v>150</v>
      </c>
      <c r="C155" s="11" t="s">
        <v>363</v>
      </c>
      <c r="D155" s="11" t="s">
        <v>364</v>
      </c>
      <c r="E155" s="11">
        <v>7218680925</v>
      </c>
      <c r="F155" s="25" t="s">
        <v>192</v>
      </c>
      <c r="H155" s="49"/>
      <c r="I155" s="49"/>
      <c r="J155" s="49"/>
      <c r="K155" s="49"/>
      <c r="L155" s="49"/>
    </row>
    <row r="156" spans="2:12" x14ac:dyDescent="0.25">
      <c r="B156" s="22">
        <v>151</v>
      </c>
      <c r="C156" s="11" t="s">
        <v>365</v>
      </c>
      <c r="D156" s="11" t="s">
        <v>366</v>
      </c>
      <c r="E156" s="11">
        <v>9892940681</v>
      </c>
      <c r="F156" s="25" t="s">
        <v>192</v>
      </c>
      <c r="H156" s="49"/>
      <c r="I156" s="49"/>
      <c r="J156" s="49"/>
      <c r="K156" s="49"/>
      <c r="L156" s="50"/>
    </row>
    <row r="157" spans="2:12" x14ac:dyDescent="0.25">
      <c r="B157" s="22">
        <v>152</v>
      </c>
      <c r="C157" s="11" t="s">
        <v>369</v>
      </c>
      <c r="D157" s="11" t="s">
        <v>370</v>
      </c>
      <c r="E157" s="11">
        <v>9137227466</v>
      </c>
      <c r="F157" s="25" t="s">
        <v>192</v>
      </c>
      <c r="H157" s="49"/>
      <c r="I157" s="49"/>
      <c r="J157" s="49"/>
      <c r="K157" s="49"/>
      <c r="L157" s="50"/>
    </row>
    <row r="158" spans="2:12" x14ac:dyDescent="0.25">
      <c r="B158" s="22">
        <v>153</v>
      </c>
      <c r="C158" s="11" t="s">
        <v>372</v>
      </c>
      <c r="D158" s="11" t="s">
        <v>373</v>
      </c>
      <c r="E158" s="11">
        <v>7021407297</v>
      </c>
      <c r="F158" s="25" t="s">
        <v>192</v>
      </c>
      <c r="H158" s="49"/>
      <c r="I158" s="49"/>
      <c r="J158" s="49"/>
      <c r="K158" s="49"/>
      <c r="L158" s="50"/>
    </row>
    <row r="159" spans="2:12" x14ac:dyDescent="0.25">
      <c r="B159" s="22">
        <v>154</v>
      </c>
      <c r="C159" s="11" t="s">
        <v>374</v>
      </c>
      <c r="D159" s="11" t="s">
        <v>375</v>
      </c>
      <c r="E159" s="11">
        <v>7738299420</v>
      </c>
      <c r="F159" s="25" t="s">
        <v>192</v>
      </c>
      <c r="H159" s="49"/>
      <c r="I159" s="49"/>
      <c r="J159" s="49"/>
      <c r="K159" s="49"/>
      <c r="L159" s="50"/>
    </row>
    <row r="160" spans="2:12" x14ac:dyDescent="0.25">
      <c r="B160" s="22">
        <v>155</v>
      </c>
      <c r="C160" s="11" t="s">
        <v>377</v>
      </c>
      <c r="D160" s="11" t="s">
        <v>378</v>
      </c>
      <c r="E160" s="11">
        <v>8369751304</v>
      </c>
      <c r="F160" s="25" t="s">
        <v>192</v>
      </c>
      <c r="H160" s="49"/>
      <c r="I160" s="49"/>
      <c r="J160" s="49"/>
      <c r="K160" s="49"/>
      <c r="L160" s="50"/>
    </row>
    <row r="161" spans="2:12" x14ac:dyDescent="0.25">
      <c r="B161" s="22">
        <v>156</v>
      </c>
      <c r="C161" s="11" t="s">
        <v>379</v>
      </c>
      <c r="D161" s="11" t="s">
        <v>380</v>
      </c>
      <c r="E161" s="11">
        <v>8779301875</v>
      </c>
      <c r="F161" s="25" t="s">
        <v>381</v>
      </c>
      <c r="H161" s="49"/>
      <c r="I161" s="49"/>
      <c r="J161" s="49"/>
      <c r="K161" s="49"/>
      <c r="L161" s="50"/>
    </row>
    <row r="162" spans="2:12" x14ac:dyDescent="0.25">
      <c r="B162" s="22">
        <v>157</v>
      </c>
      <c r="C162" s="11" t="s">
        <v>383</v>
      </c>
      <c r="D162" s="11" t="s">
        <v>384</v>
      </c>
      <c r="E162" s="11">
        <v>9336798344</v>
      </c>
      <c r="F162" s="25" t="s">
        <v>381</v>
      </c>
      <c r="H162" s="49"/>
      <c r="I162" s="49"/>
      <c r="J162" s="49"/>
      <c r="K162" s="49"/>
      <c r="L162" s="50"/>
    </row>
    <row r="163" spans="2:12" x14ac:dyDescent="0.25">
      <c r="B163" s="22">
        <v>158</v>
      </c>
      <c r="C163" s="11" t="s">
        <v>386</v>
      </c>
      <c r="D163" s="11" t="s">
        <v>387</v>
      </c>
      <c r="E163" s="11">
        <v>8169602972</v>
      </c>
      <c r="F163" s="25" t="s">
        <v>381</v>
      </c>
      <c r="H163" s="49"/>
      <c r="I163" s="49"/>
      <c r="J163" s="49"/>
      <c r="K163" s="49"/>
      <c r="L163" s="50"/>
    </row>
    <row r="164" spans="2:12" x14ac:dyDescent="0.25">
      <c r="B164" s="22">
        <v>159</v>
      </c>
      <c r="C164" s="11" t="s">
        <v>388</v>
      </c>
      <c r="D164" s="11" t="s">
        <v>389</v>
      </c>
      <c r="E164" s="11">
        <v>8928057743</v>
      </c>
      <c r="F164" s="25" t="s">
        <v>381</v>
      </c>
      <c r="H164" s="49"/>
      <c r="I164" s="49"/>
      <c r="J164" s="49"/>
      <c r="K164" s="49"/>
      <c r="L164" s="50"/>
    </row>
    <row r="165" spans="2:12" x14ac:dyDescent="0.25">
      <c r="B165" s="22">
        <v>160</v>
      </c>
      <c r="C165" s="11" t="s">
        <v>390</v>
      </c>
      <c r="D165" s="11" t="s">
        <v>391</v>
      </c>
      <c r="E165" s="11">
        <v>9004457842</v>
      </c>
      <c r="F165" s="25" t="s">
        <v>381</v>
      </c>
      <c r="H165" s="49"/>
      <c r="I165" s="49"/>
      <c r="J165" s="49"/>
      <c r="K165" s="49"/>
      <c r="L165" s="50"/>
    </row>
    <row r="166" spans="2:12" x14ac:dyDescent="0.25">
      <c r="B166" s="22">
        <v>161</v>
      </c>
      <c r="C166" s="11" t="s">
        <v>392</v>
      </c>
      <c r="D166" s="11" t="s">
        <v>393</v>
      </c>
      <c r="E166" s="11">
        <v>9209969299</v>
      </c>
      <c r="F166" s="25" t="s">
        <v>381</v>
      </c>
      <c r="H166" s="49"/>
      <c r="I166" s="49"/>
      <c r="J166" s="49"/>
      <c r="K166" s="49"/>
      <c r="L166" s="50"/>
    </row>
    <row r="167" spans="2:12" x14ac:dyDescent="0.25">
      <c r="B167" s="39">
        <v>162</v>
      </c>
      <c r="C167" s="51" t="s">
        <v>395</v>
      </c>
      <c r="D167" s="51" t="s">
        <v>396</v>
      </c>
      <c r="E167" s="51">
        <v>9137024507</v>
      </c>
      <c r="F167" s="52" t="s">
        <v>381</v>
      </c>
      <c r="H167" s="49"/>
      <c r="I167" s="49"/>
      <c r="J167" s="49"/>
      <c r="K167" s="49"/>
      <c r="L167" s="50"/>
    </row>
    <row r="168" spans="2:12" x14ac:dyDescent="0.25">
      <c r="B168" s="17"/>
      <c r="E168" s="53"/>
      <c r="H168" s="49"/>
      <c r="I168" s="49"/>
      <c r="J168" s="49"/>
      <c r="K168" s="49"/>
      <c r="L168" s="50"/>
    </row>
    <row r="169" spans="2:12" x14ac:dyDescent="0.25">
      <c r="B169" s="17"/>
      <c r="H169" s="49"/>
      <c r="I169" s="49"/>
      <c r="J169" s="49"/>
      <c r="K169" s="49"/>
      <c r="L169" s="50"/>
    </row>
    <row r="170" spans="2:12" x14ac:dyDescent="0.25">
      <c r="B170" s="17"/>
      <c r="H170" s="49"/>
      <c r="I170" s="49"/>
      <c r="J170" s="49"/>
      <c r="K170" s="49"/>
      <c r="L170" s="50"/>
    </row>
    <row r="171" spans="2:12" x14ac:dyDescent="0.25">
      <c r="B171" s="17"/>
      <c r="H171" s="49"/>
      <c r="I171" s="49"/>
      <c r="J171" s="49"/>
      <c r="K171" s="49"/>
      <c r="L171" s="50"/>
    </row>
    <row r="172" spans="2:12" x14ac:dyDescent="0.25">
      <c r="B172" s="17"/>
      <c r="H172" s="49"/>
      <c r="I172" s="49"/>
      <c r="J172" s="49"/>
      <c r="K172" s="49"/>
      <c r="L172" s="50"/>
    </row>
    <row r="173" spans="2:12" x14ac:dyDescent="0.25">
      <c r="B173" s="17"/>
      <c r="H173" s="49"/>
      <c r="I173" s="49"/>
      <c r="J173" s="49"/>
      <c r="K173" s="49"/>
      <c r="L173" s="50"/>
    </row>
    <row r="174" spans="2:12" x14ac:dyDescent="0.25">
      <c r="B174" s="17"/>
      <c r="H174" s="49"/>
      <c r="I174" s="49"/>
      <c r="J174" s="49"/>
      <c r="K174" s="49"/>
      <c r="L174" s="50"/>
    </row>
    <row r="175" spans="2:12" x14ac:dyDescent="0.25">
      <c r="B175" s="17"/>
      <c r="H175" s="49"/>
      <c r="I175" s="49"/>
      <c r="J175" s="49"/>
      <c r="K175" s="49"/>
      <c r="L175" s="50"/>
    </row>
    <row r="176" spans="2:12" x14ac:dyDescent="0.25">
      <c r="B176" s="17"/>
      <c r="H176" s="49"/>
      <c r="I176" s="49"/>
      <c r="J176" s="49"/>
      <c r="K176" s="49"/>
      <c r="L176" s="50"/>
    </row>
    <row r="177" spans="2:12" x14ac:dyDescent="0.25">
      <c r="B177" s="17"/>
      <c r="H177" s="49"/>
      <c r="I177" s="49"/>
      <c r="J177" s="49"/>
      <c r="K177" s="49"/>
      <c r="L177" s="50"/>
    </row>
    <row r="178" spans="2:12" x14ac:dyDescent="0.25">
      <c r="B178" s="17"/>
      <c r="H178" s="49"/>
      <c r="I178" s="49"/>
      <c r="J178" s="49"/>
      <c r="K178" s="49"/>
      <c r="L178" s="50"/>
    </row>
    <row r="179" spans="2:12" x14ac:dyDescent="0.25">
      <c r="B179" s="17"/>
      <c r="H179" s="49"/>
      <c r="I179" s="49"/>
      <c r="J179" s="49"/>
      <c r="K179" s="49"/>
      <c r="L179" s="50"/>
    </row>
    <row r="180" spans="2:12" x14ac:dyDescent="0.25">
      <c r="B180" s="17"/>
      <c r="H180" s="49"/>
      <c r="I180" s="49"/>
      <c r="J180" s="49"/>
      <c r="K180" s="49"/>
      <c r="L180" s="50"/>
    </row>
    <row r="181" spans="2:12" x14ac:dyDescent="0.25">
      <c r="B181" s="17"/>
      <c r="H181" s="49"/>
      <c r="I181" s="49"/>
      <c r="J181" s="49"/>
      <c r="K181" s="49"/>
      <c r="L181" s="50"/>
    </row>
    <row r="182" spans="2:12" x14ac:dyDescent="0.25">
      <c r="B182" s="17"/>
      <c r="H182" s="49"/>
      <c r="I182" s="49"/>
      <c r="J182" s="49"/>
      <c r="K182" s="49"/>
      <c r="L182" s="50"/>
    </row>
    <row r="183" spans="2:12" x14ac:dyDescent="0.25">
      <c r="B183" s="17"/>
      <c r="H183" s="49"/>
      <c r="I183" s="49"/>
      <c r="J183" s="49"/>
      <c r="K183" s="49"/>
      <c r="L183" s="50"/>
    </row>
    <row r="184" spans="2:12" x14ac:dyDescent="0.25">
      <c r="B184" s="17"/>
      <c r="H184" s="49"/>
      <c r="I184" s="49"/>
      <c r="J184" s="49"/>
      <c r="K184" s="49"/>
      <c r="L184" s="50"/>
    </row>
    <row r="185" spans="2:12" x14ac:dyDescent="0.25">
      <c r="B185" s="17"/>
      <c r="H185" s="49"/>
      <c r="I185" s="49"/>
      <c r="J185" s="49"/>
      <c r="K185" s="49"/>
      <c r="L185" s="50"/>
    </row>
    <row r="186" spans="2:12" x14ac:dyDescent="0.25">
      <c r="B186" s="17"/>
      <c r="H186" s="49"/>
      <c r="I186" s="49"/>
      <c r="J186" s="49"/>
      <c r="K186" s="49"/>
      <c r="L186" s="50"/>
    </row>
    <row r="187" spans="2:12" x14ac:dyDescent="0.25">
      <c r="B187" s="17"/>
      <c r="H187" s="49"/>
      <c r="I187" s="49"/>
      <c r="J187" s="49"/>
      <c r="K187" s="49"/>
      <c r="L187" s="50"/>
    </row>
    <row r="188" spans="2:12" x14ac:dyDescent="0.25">
      <c r="B188" s="17"/>
      <c r="H188" s="49"/>
      <c r="I188" s="49"/>
      <c r="J188" s="49"/>
      <c r="K188" s="49"/>
      <c r="L188" s="50"/>
    </row>
    <row r="189" spans="2:12" x14ac:dyDescent="0.25">
      <c r="B189" s="17"/>
      <c r="H189" s="49"/>
      <c r="I189" s="49"/>
      <c r="J189" s="49"/>
      <c r="K189" s="49"/>
      <c r="L189" s="50"/>
    </row>
    <row r="190" spans="2:12" x14ac:dyDescent="0.25">
      <c r="B190" s="17"/>
      <c r="H190" s="49"/>
      <c r="I190" s="49"/>
      <c r="J190" s="49"/>
      <c r="K190" s="49"/>
      <c r="L190" s="50"/>
    </row>
    <row r="191" spans="2:12" x14ac:dyDescent="0.25">
      <c r="B191" s="17"/>
      <c r="H191" s="49"/>
      <c r="I191" s="49"/>
      <c r="J191" s="49"/>
      <c r="K191" s="49"/>
      <c r="L191" s="50"/>
    </row>
    <row r="192" spans="2:12" x14ac:dyDescent="0.25">
      <c r="B192" s="17"/>
      <c r="H192" s="49"/>
      <c r="I192" s="49"/>
      <c r="J192" s="49"/>
      <c r="K192" s="49"/>
      <c r="L192" s="50"/>
    </row>
    <row r="193" spans="2:12" x14ac:dyDescent="0.25">
      <c r="B193" s="17"/>
      <c r="H193" s="49"/>
      <c r="I193" s="49"/>
      <c r="J193" s="49"/>
      <c r="K193" s="49"/>
      <c r="L193" s="50"/>
    </row>
    <row r="194" spans="2:12" x14ac:dyDescent="0.25">
      <c r="B194" s="17"/>
      <c r="H194" s="49"/>
      <c r="I194" s="49"/>
      <c r="J194" s="49"/>
      <c r="K194" s="49"/>
      <c r="L194" s="50"/>
    </row>
    <row r="195" spans="2:12" x14ac:dyDescent="0.25">
      <c r="B195" s="17"/>
      <c r="H195" s="49"/>
      <c r="I195" s="49"/>
      <c r="J195" s="49"/>
      <c r="K195" s="49"/>
      <c r="L195" s="50"/>
    </row>
    <row r="196" spans="2:12" x14ac:dyDescent="0.25">
      <c r="B196" s="17"/>
      <c r="H196" s="49"/>
      <c r="I196" s="49"/>
      <c r="J196" s="49"/>
      <c r="K196" s="49"/>
      <c r="L196" s="50"/>
    </row>
    <row r="197" spans="2:12" x14ac:dyDescent="0.25">
      <c r="B197" s="17"/>
      <c r="H197" s="49"/>
      <c r="I197" s="49"/>
      <c r="J197" s="49"/>
      <c r="K197" s="49"/>
      <c r="L197" s="50"/>
    </row>
    <row r="198" spans="2:12" x14ac:dyDescent="0.25">
      <c r="B198" s="17"/>
      <c r="H198" s="49"/>
      <c r="I198" s="49"/>
      <c r="J198" s="49"/>
      <c r="K198" s="49"/>
      <c r="L198" s="50"/>
    </row>
    <row r="199" spans="2:12" x14ac:dyDescent="0.25">
      <c r="B199" s="17"/>
      <c r="H199" s="49"/>
      <c r="I199" s="49"/>
      <c r="J199" s="49"/>
      <c r="K199" s="49"/>
      <c r="L199" s="50"/>
    </row>
    <row r="200" spans="2:12" x14ac:dyDescent="0.25">
      <c r="B200" s="17"/>
      <c r="H200" s="49"/>
      <c r="I200" s="49"/>
      <c r="J200" s="49"/>
      <c r="K200" s="49"/>
      <c r="L200" s="50"/>
    </row>
    <row r="201" spans="2:12" x14ac:dyDescent="0.25">
      <c r="B201" s="17"/>
      <c r="H201" s="49"/>
      <c r="I201" s="49"/>
      <c r="J201" s="49"/>
      <c r="K201" s="49"/>
      <c r="L201" s="50"/>
    </row>
    <row r="202" spans="2:12" x14ac:dyDescent="0.25">
      <c r="B202" s="17"/>
      <c r="H202" s="49"/>
      <c r="I202" s="49"/>
      <c r="J202" s="49"/>
      <c r="K202" s="49"/>
      <c r="L202" s="50"/>
    </row>
    <row r="203" spans="2:12" x14ac:dyDescent="0.25">
      <c r="B203" s="17"/>
      <c r="H203" s="49"/>
      <c r="I203" s="49"/>
      <c r="J203" s="49"/>
      <c r="K203" s="49"/>
      <c r="L203" s="50"/>
    </row>
    <row r="204" spans="2:12" x14ac:dyDescent="0.25">
      <c r="B204" s="17"/>
      <c r="H204" s="49"/>
      <c r="I204" s="49"/>
      <c r="J204" s="49"/>
      <c r="K204" s="49"/>
      <c r="L204" s="50"/>
    </row>
    <row r="205" spans="2:12" x14ac:dyDescent="0.25">
      <c r="B205" s="17"/>
      <c r="H205" s="49"/>
      <c r="I205" s="49"/>
      <c r="J205" s="49"/>
      <c r="K205" s="49"/>
      <c r="L205" s="50"/>
    </row>
    <row r="206" spans="2:12" x14ac:dyDescent="0.25">
      <c r="B206" s="17"/>
      <c r="H206" s="49"/>
      <c r="I206" s="49"/>
      <c r="J206" s="49"/>
      <c r="K206" s="49"/>
      <c r="L206" s="50"/>
    </row>
    <row r="207" spans="2:12" x14ac:dyDescent="0.25">
      <c r="B207" s="17"/>
      <c r="H207" s="49"/>
      <c r="I207" s="49"/>
      <c r="J207" s="49"/>
      <c r="K207" s="49"/>
      <c r="L207" s="50"/>
    </row>
    <row r="208" spans="2:12" x14ac:dyDescent="0.25">
      <c r="B208" s="17"/>
      <c r="H208" s="49"/>
      <c r="I208" s="49"/>
      <c r="J208" s="49"/>
      <c r="K208" s="49"/>
      <c r="L208" s="50"/>
    </row>
    <row r="209" spans="2:12" x14ac:dyDescent="0.25">
      <c r="B209" s="17"/>
      <c r="H209" s="49"/>
      <c r="I209" s="49"/>
      <c r="J209" s="49"/>
      <c r="K209" s="49"/>
      <c r="L209" s="50"/>
    </row>
    <row r="210" spans="2:12" x14ac:dyDescent="0.25">
      <c r="B210" s="17"/>
      <c r="H210" s="49"/>
      <c r="I210" s="49"/>
      <c r="J210" s="49"/>
      <c r="K210" s="49"/>
      <c r="L210" s="50"/>
    </row>
    <row r="211" spans="2:12" x14ac:dyDescent="0.25">
      <c r="B211" s="17"/>
      <c r="H211" s="49"/>
      <c r="I211" s="49"/>
      <c r="J211" s="49"/>
      <c r="K211" s="49"/>
      <c r="L211" s="50"/>
    </row>
    <row r="212" spans="2:12" x14ac:dyDescent="0.25">
      <c r="B212" s="17"/>
      <c r="H212" s="49"/>
      <c r="I212" s="49"/>
      <c r="J212" s="49"/>
      <c r="K212" s="49"/>
      <c r="L212" s="50"/>
    </row>
    <row r="213" spans="2:12" x14ac:dyDescent="0.25">
      <c r="B213" s="17"/>
      <c r="H213" s="49"/>
      <c r="I213" s="49"/>
      <c r="J213" s="49"/>
      <c r="K213" s="49"/>
      <c r="L213" s="50"/>
    </row>
    <row r="214" spans="2:12" x14ac:dyDescent="0.25">
      <c r="B214" s="17"/>
      <c r="H214" s="49"/>
      <c r="I214" s="49"/>
      <c r="J214" s="49"/>
      <c r="K214" s="49"/>
      <c r="L214" s="50"/>
    </row>
    <row r="215" spans="2:12" x14ac:dyDescent="0.25">
      <c r="B215" s="17"/>
      <c r="H215" s="49"/>
      <c r="I215" s="49"/>
      <c r="J215" s="49"/>
      <c r="K215" s="49"/>
      <c r="L215" s="50"/>
    </row>
    <row r="216" spans="2:12" x14ac:dyDescent="0.25">
      <c r="B216" s="17"/>
      <c r="H216" s="49"/>
      <c r="I216" s="49"/>
      <c r="J216" s="49"/>
      <c r="K216" s="49"/>
      <c r="L216" s="50"/>
    </row>
    <row r="217" spans="2:12" x14ac:dyDescent="0.25">
      <c r="B217" s="17"/>
      <c r="H217" s="49"/>
      <c r="I217" s="49"/>
      <c r="J217" s="49"/>
      <c r="K217" s="49"/>
      <c r="L217" s="50"/>
    </row>
    <row r="218" spans="2:12" x14ac:dyDescent="0.25">
      <c r="B218" s="17"/>
      <c r="H218" s="49"/>
      <c r="I218" s="49"/>
      <c r="J218" s="49"/>
      <c r="K218" s="49"/>
      <c r="L218" s="50"/>
    </row>
    <row r="219" spans="2:12" x14ac:dyDescent="0.25">
      <c r="B219" s="17"/>
      <c r="H219" s="49"/>
      <c r="I219" s="49"/>
      <c r="J219" s="49"/>
      <c r="K219" s="49"/>
      <c r="L219" s="50"/>
    </row>
    <row r="220" spans="2:12" x14ac:dyDescent="0.25">
      <c r="B220" s="17"/>
      <c r="H220" s="49"/>
      <c r="I220" s="49"/>
      <c r="J220" s="49"/>
      <c r="K220" s="49"/>
      <c r="L220" s="50"/>
    </row>
    <row r="221" spans="2:12" x14ac:dyDescent="0.25">
      <c r="B221" s="17"/>
      <c r="H221" s="49"/>
      <c r="I221" s="49"/>
      <c r="J221" s="49"/>
      <c r="K221" s="49"/>
      <c r="L221" s="50"/>
    </row>
    <row r="222" spans="2:12" x14ac:dyDescent="0.25">
      <c r="B222" s="17"/>
      <c r="H222" s="49"/>
      <c r="I222" s="49"/>
      <c r="J222" s="49"/>
      <c r="K222" s="49"/>
      <c r="L222" s="50"/>
    </row>
    <row r="223" spans="2:12" x14ac:dyDescent="0.25">
      <c r="B223" s="17"/>
      <c r="H223" s="49"/>
      <c r="I223" s="49"/>
      <c r="J223" s="49"/>
      <c r="K223" s="49"/>
      <c r="L223" s="50"/>
    </row>
    <row r="224" spans="2:12" x14ac:dyDescent="0.25">
      <c r="B224" s="17"/>
      <c r="H224" s="49"/>
      <c r="I224" s="49"/>
      <c r="J224" s="49"/>
      <c r="K224" s="49"/>
      <c r="L224" s="50"/>
    </row>
    <row r="225" spans="2:12" x14ac:dyDescent="0.25">
      <c r="B225" s="17"/>
      <c r="H225" s="49"/>
      <c r="I225" s="49"/>
      <c r="J225" s="49"/>
      <c r="K225" s="49"/>
      <c r="L225" s="50"/>
    </row>
    <row r="226" spans="2:12" x14ac:dyDescent="0.25">
      <c r="B226" s="17"/>
      <c r="H226" s="49"/>
      <c r="I226" s="49"/>
      <c r="J226" s="49"/>
      <c r="K226" s="49"/>
      <c r="L226" s="50"/>
    </row>
    <row r="227" spans="2:12" x14ac:dyDescent="0.25">
      <c r="B227" s="17"/>
      <c r="H227" s="49"/>
      <c r="I227" s="49"/>
      <c r="J227" s="49"/>
      <c r="K227" s="49"/>
      <c r="L227" s="50"/>
    </row>
    <row r="228" spans="2:12" x14ac:dyDescent="0.25">
      <c r="B228" s="17"/>
      <c r="H228" s="49"/>
      <c r="I228" s="49"/>
      <c r="J228" s="49"/>
      <c r="K228" s="49"/>
      <c r="L228" s="50"/>
    </row>
    <row r="229" spans="2:12" x14ac:dyDescent="0.25">
      <c r="B229" s="17"/>
      <c r="H229" s="49"/>
      <c r="I229" s="49"/>
      <c r="J229" s="49"/>
      <c r="K229" s="49"/>
      <c r="L229" s="50"/>
    </row>
    <row r="230" spans="2:12" x14ac:dyDescent="0.25">
      <c r="B230" s="17"/>
      <c r="H230" s="49"/>
      <c r="I230" s="49"/>
      <c r="J230" s="49"/>
      <c r="K230" s="49"/>
      <c r="L230" s="50"/>
    </row>
    <row r="231" spans="2:12" x14ac:dyDescent="0.25">
      <c r="B231" s="17"/>
      <c r="H231" s="49"/>
      <c r="I231" s="49"/>
      <c r="J231" s="49"/>
      <c r="K231" s="49"/>
      <c r="L231" s="50"/>
    </row>
    <row r="232" spans="2:12" x14ac:dyDescent="0.25">
      <c r="B232" s="17"/>
      <c r="H232" s="49"/>
      <c r="I232" s="49"/>
      <c r="J232" s="49"/>
      <c r="K232" s="49"/>
      <c r="L232" s="50"/>
    </row>
    <row r="233" spans="2:12" x14ac:dyDescent="0.25">
      <c r="B233" s="17"/>
      <c r="H233" s="49"/>
      <c r="I233" s="49"/>
      <c r="J233" s="49"/>
      <c r="K233" s="49"/>
      <c r="L233" s="50"/>
    </row>
    <row r="234" spans="2:12" x14ac:dyDescent="0.25">
      <c r="B234" s="17"/>
      <c r="H234" s="49"/>
      <c r="I234" s="49"/>
      <c r="J234" s="49"/>
      <c r="K234" s="49"/>
      <c r="L234" s="50"/>
    </row>
    <row r="235" spans="2:12" x14ac:dyDescent="0.25">
      <c r="B235" s="17"/>
      <c r="H235" s="49"/>
      <c r="I235" s="49"/>
      <c r="J235" s="49"/>
      <c r="K235" s="49"/>
      <c r="L235" s="50"/>
    </row>
    <row r="236" spans="2:12" x14ac:dyDescent="0.25">
      <c r="B236" s="17"/>
      <c r="H236" s="49"/>
      <c r="I236" s="49"/>
      <c r="J236" s="49"/>
      <c r="K236" s="49"/>
      <c r="L236" s="50"/>
    </row>
    <row r="237" spans="2:12" x14ac:dyDescent="0.25">
      <c r="B237" s="17"/>
      <c r="H237" s="49"/>
      <c r="I237" s="49"/>
      <c r="J237" s="49"/>
      <c r="K237" s="49"/>
      <c r="L237" s="50"/>
    </row>
    <row r="238" spans="2:12" x14ac:dyDescent="0.25">
      <c r="B238" s="17"/>
      <c r="H238" s="49"/>
      <c r="I238" s="49"/>
      <c r="J238" s="49"/>
      <c r="K238" s="49"/>
      <c r="L238" s="50"/>
    </row>
    <row r="239" spans="2:12" x14ac:dyDescent="0.25">
      <c r="B239" s="17"/>
      <c r="H239" s="49"/>
      <c r="I239" s="49"/>
      <c r="J239" s="49"/>
      <c r="K239" s="49"/>
      <c r="L239" s="50"/>
    </row>
    <row r="240" spans="2:12" x14ac:dyDescent="0.25">
      <c r="B240" s="17"/>
      <c r="H240" s="49"/>
      <c r="I240" s="49"/>
      <c r="J240" s="49"/>
      <c r="K240" s="49"/>
      <c r="L240" s="50"/>
    </row>
    <row r="241" spans="2:12" x14ac:dyDescent="0.25">
      <c r="B241" s="17"/>
      <c r="H241" s="49"/>
      <c r="I241" s="49"/>
      <c r="J241" s="49"/>
      <c r="K241" s="49"/>
      <c r="L241" s="50"/>
    </row>
    <row r="242" spans="2:12" x14ac:dyDescent="0.25">
      <c r="B242" s="17"/>
      <c r="H242" s="49"/>
      <c r="I242" s="49"/>
      <c r="J242" s="49"/>
      <c r="K242" s="49"/>
      <c r="L242" s="50"/>
    </row>
    <row r="243" spans="2:12" x14ac:dyDescent="0.25">
      <c r="B243" s="17"/>
      <c r="H243" s="49"/>
      <c r="I243" s="49"/>
      <c r="J243" s="49"/>
      <c r="K243" s="49"/>
      <c r="L243" s="50"/>
    </row>
    <row r="244" spans="2:12" x14ac:dyDescent="0.25">
      <c r="B244" s="17"/>
      <c r="H244" s="49"/>
      <c r="I244" s="49"/>
      <c r="J244" s="49"/>
      <c r="K244" s="49"/>
      <c r="L244" s="50"/>
    </row>
    <row r="245" spans="2:12" x14ac:dyDescent="0.25">
      <c r="B245" s="17"/>
      <c r="H245" s="49"/>
      <c r="I245" s="49"/>
      <c r="J245" s="49"/>
      <c r="K245" s="49"/>
      <c r="L245" s="50"/>
    </row>
    <row r="246" spans="2:12" x14ac:dyDescent="0.25">
      <c r="B246" s="17"/>
      <c r="H246" s="49"/>
      <c r="I246" s="49"/>
      <c r="J246" s="49"/>
      <c r="K246" s="49"/>
      <c r="L246" s="50"/>
    </row>
    <row r="247" spans="2:12" x14ac:dyDescent="0.25">
      <c r="B247" s="17"/>
      <c r="H247" s="49"/>
      <c r="I247" s="49"/>
      <c r="J247" s="49"/>
      <c r="K247" s="49"/>
      <c r="L247" s="50"/>
    </row>
    <row r="248" spans="2:12" x14ac:dyDescent="0.25">
      <c r="B248" s="17"/>
      <c r="H248" s="49"/>
      <c r="I248" s="49"/>
      <c r="J248" s="49"/>
      <c r="K248" s="49"/>
      <c r="L248" s="50"/>
    </row>
    <row r="249" spans="2:12" x14ac:dyDescent="0.25">
      <c r="B249" s="17"/>
      <c r="H249" s="49"/>
      <c r="I249" s="49"/>
      <c r="J249" s="49"/>
      <c r="K249" s="49"/>
      <c r="L249" s="50"/>
    </row>
    <row r="250" spans="2:12" x14ac:dyDescent="0.25">
      <c r="B250" s="17"/>
      <c r="H250" s="49"/>
      <c r="I250" s="49"/>
      <c r="J250" s="49"/>
      <c r="K250" s="49"/>
      <c r="L250" s="50"/>
    </row>
    <row r="251" spans="2:12" x14ac:dyDescent="0.25">
      <c r="B251" s="17"/>
      <c r="H251" s="49"/>
      <c r="I251" s="49"/>
      <c r="J251" s="49"/>
      <c r="K251" s="49"/>
      <c r="L251" s="50"/>
    </row>
    <row r="252" spans="2:12" x14ac:dyDescent="0.25">
      <c r="B252" s="17"/>
      <c r="H252" s="49"/>
      <c r="I252" s="49"/>
      <c r="J252" s="49"/>
      <c r="K252" s="49"/>
      <c r="L252" s="50"/>
    </row>
    <row r="253" spans="2:12" x14ac:dyDescent="0.25">
      <c r="B253" s="17"/>
      <c r="H253" s="49"/>
      <c r="I253" s="49"/>
      <c r="J253" s="49"/>
      <c r="K253" s="49"/>
      <c r="L253" s="50"/>
    </row>
    <row r="254" spans="2:12" x14ac:dyDescent="0.25">
      <c r="B254" s="17"/>
      <c r="H254" s="49"/>
      <c r="I254" s="49"/>
      <c r="J254" s="49"/>
      <c r="K254" s="49"/>
      <c r="L254" s="50"/>
    </row>
    <row r="255" spans="2:12" x14ac:dyDescent="0.25">
      <c r="B255" s="17"/>
      <c r="H255" s="49"/>
      <c r="I255" s="49"/>
      <c r="J255" s="49"/>
      <c r="K255" s="49"/>
      <c r="L255" s="50"/>
    </row>
    <row r="256" spans="2:12" x14ac:dyDescent="0.25">
      <c r="B256" s="17"/>
      <c r="H256" s="49"/>
      <c r="I256" s="49"/>
      <c r="J256" s="49"/>
      <c r="K256" s="49"/>
      <c r="L256" s="50"/>
    </row>
    <row r="257" spans="2:12" x14ac:dyDescent="0.25">
      <c r="B257" s="17"/>
      <c r="H257" s="49"/>
      <c r="I257" s="49"/>
      <c r="J257" s="49"/>
      <c r="K257" s="49"/>
      <c r="L257" s="50"/>
    </row>
    <row r="258" spans="2:12" x14ac:dyDescent="0.25">
      <c r="B258" s="17"/>
      <c r="H258" s="49"/>
      <c r="I258" s="49"/>
      <c r="J258" s="49"/>
      <c r="K258" s="49"/>
      <c r="L258" s="50"/>
    </row>
    <row r="259" spans="2:12" x14ac:dyDescent="0.25">
      <c r="B259" s="17"/>
      <c r="H259" s="49"/>
      <c r="I259" s="49"/>
      <c r="J259" s="49"/>
      <c r="K259" s="49"/>
      <c r="L259" s="50"/>
    </row>
    <row r="260" spans="2:12" x14ac:dyDescent="0.25">
      <c r="B260" s="17"/>
      <c r="H260" s="49"/>
      <c r="I260" s="49"/>
      <c r="J260" s="49"/>
      <c r="K260" s="49"/>
      <c r="L260" s="50"/>
    </row>
    <row r="261" spans="2:12" x14ac:dyDescent="0.25">
      <c r="B261" s="17"/>
      <c r="H261" s="49"/>
      <c r="I261" s="49"/>
      <c r="J261" s="49"/>
      <c r="K261" s="49"/>
      <c r="L261" s="50"/>
    </row>
    <row r="262" spans="2:12" x14ac:dyDescent="0.25">
      <c r="B262" s="17"/>
      <c r="H262" s="49"/>
      <c r="I262" s="49"/>
      <c r="J262" s="49"/>
      <c r="K262" s="49"/>
      <c r="L262" s="50"/>
    </row>
    <row r="263" spans="2:12" x14ac:dyDescent="0.25">
      <c r="B263" s="17"/>
      <c r="H263" s="49"/>
      <c r="I263" s="49"/>
      <c r="J263" s="49"/>
      <c r="K263" s="49"/>
      <c r="L263" s="50"/>
    </row>
    <row r="264" spans="2:12" x14ac:dyDescent="0.25">
      <c r="B264" s="17"/>
      <c r="H264" s="49"/>
      <c r="I264" s="49"/>
      <c r="J264" s="49"/>
      <c r="K264" s="49"/>
      <c r="L264" s="50"/>
    </row>
    <row r="265" spans="2:12" x14ac:dyDescent="0.25">
      <c r="B265" s="17"/>
      <c r="H265" s="49"/>
      <c r="I265" s="49"/>
      <c r="J265" s="49"/>
      <c r="K265" s="49"/>
      <c r="L265" s="50"/>
    </row>
    <row r="266" spans="2:12" x14ac:dyDescent="0.25">
      <c r="B266" s="17"/>
      <c r="H266" s="49"/>
      <c r="I266" s="49"/>
      <c r="J266" s="49"/>
      <c r="K266" s="49"/>
      <c r="L266" s="50"/>
    </row>
    <row r="267" spans="2:12" x14ac:dyDescent="0.25">
      <c r="B267" s="17"/>
      <c r="H267" s="49"/>
      <c r="I267" s="49"/>
      <c r="J267" s="49"/>
      <c r="K267" s="49"/>
      <c r="L267" s="50"/>
    </row>
    <row r="268" spans="2:12" x14ac:dyDescent="0.25">
      <c r="B268" s="17"/>
      <c r="H268" s="49"/>
      <c r="I268" s="49"/>
      <c r="J268" s="49"/>
      <c r="K268" s="49"/>
      <c r="L268" s="50"/>
    </row>
    <row r="269" spans="2:12" x14ac:dyDescent="0.25">
      <c r="B269" s="17"/>
      <c r="H269" s="49"/>
      <c r="I269" s="49"/>
      <c r="J269" s="49"/>
      <c r="K269" s="49"/>
      <c r="L269" s="50"/>
    </row>
    <row r="270" spans="2:12" x14ac:dyDescent="0.25">
      <c r="B270" s="17"/>
      <c r="H270" s="49"/>
      <c r="I270" s="49"/>
      <c r="J270" s="49"/>
      <c r="K270" s="49"/>
      <c r="L270" s="50"/>
    </row>
    <row r="271" spans="2:12" x14ac:dyDescent="0.25">
      <c r="B271" s="17"/>
      <c r="H271" s="49"/>
      <c r="I271" s="49"/>
      <c r="J271" s="49"/>
      <c r="K271" s="49"/>
      <c r="L271" s="50"/>
    </row>
    <row r="272" spans="2:12" x14ac:dyDescent="0.25">
      <c r="B272" s="17"/>
      <c r="H272" s="49"/>
      <c r="I272" s="49"/>
      <c r="J272" s="49"/>
      <c r="K272" s="49"/>
      <c r="L272" s="50"/>
    </row>
    <row r="273" spans="2:12" x14ac:dyDescent="0.25">
      <c r="B273" s="17"/>
      <c r="H273" s="49"/>
      <c r="I273" s="49"/>
      <c r="J273" s="49"/>
      <c r="K273" s="49"/>
      <c r="L273" s="50"/>
    </row>
    <row r="274" spans="2:12" x14ac:dyDescent="0.25">
      <c r="B274" s="17"/>
      <c r="H274" s="49"/>
      <c r="I274" s="49"/>
      <c r="J274" s="49"/>
      <c r="K274" s="49"/>
      <c r="L274" s="50"/>
    </row>
    <row r="275" spans="2:12" x14ac:dyDescent="0.25">
      <c r="B275" s="17"/>
      <c r="H275" s="49"/>
      <c r="I275" s="49"/>
      <c r="J275" s="49"/>
      <c r="K275" s="49"/>
      <c r="L275" s="50"/>
    </row>
    <row r="276" spans="2:12" x14ac:dyDescent="0.25">
      <c r="B276" s="17"/>
      <c r="H276" s="49"/>
      <c r="I276" s="49"/>
      <c r="J276" s="49"/>
      <c r="K276" s="49"/>
      <c r="L276" s="50"/>
    </row>
    <row r="277" spans="2:12" x14ac:dyDescent="0.25">
      <c r="B277" s="17"/>
      <c r="H277" s="49"/>
      <c r="I277" s="49"/>
      <c r="J277" s="49"/>
      <c r="K277" s="49"/>
      <c r="L277" s="50"/>
    </row>
    <row r="278" spans="2:12" x14ac:dyDescent="0.25">
      <c r="B278" s="17"/>
      <c r="H278" s="49"/>
      <c r="I278" s="49"/>
      <c r="J278" s="49"/>
      <c r="K278" s="49"/>
      <c r="L278" s="50"/>
    </row>
    <row r="279" spans="2:12" x14ac:dyDescent="0.25">
      <c r="B279" s="17"/>
      <c r="H279" s="49"/>
      <c r="I279" s="49"/>
      <c r="J279" s="49"/>
      <c r="K279" s="49"/>
      <c r="L279" s="50"/>
    </row>
    <row r="280" spans="2:12" x14ac:dyDescent="0.25">
      <c r="B280" s="17"/>
      <c r="H280" s="49"/>
      <c r="I280" s="49"/>
      <c r="J280" s="49"/>
      <c r="K280" s="49"/>
      <c r="L280" s="50"/>
    </row>
    <row r="281" spans="2:12" x14ac:dyDescent="0.25">
      <c r="B281" s="17"/>
      <c r="H281" s="49"/>
      <c r="I281" s="49"/>
      <c r="J281" s="49"/>
      <c r="K281" s="49"/>
      <c r="L281" s="50"/>
    </row>
    <row r="282" spans="2:12" x14ac:dyDescent="0.25">
      <c r="B282" s="17"/>
      <c r="H282" s="49"/>
      <c r="I282" s="49"/>
      <c r="J282" s="49"/>
      <c r="K282" s="49"/>
      <c r="L282" s="50"/>
    </row>
    <row r="283" spans="2:12" x14ac:dyDescent="0.25">
      <c r="B283" s="17"/>
      <c r="H283" s="49"/>
      <c r="I283" s="49"/>
      <c r="J283" s="49"/>
      <c r="K283" s="49"/>
      <c r="L283" s="50"/>
    </row>
    <row r="284" spans="2:12" x14ac:dyDescent="0.25">
      <c r="B284" s="17"/>
      <c r="H284" s="49"/>
      <c r="I284" s="49"/>
      <c r="J284" s="49"/>
      <c r="K284" s="49"/>
      <c r="L284" s="50"/>
    </row>
    <row r="285" spans="2:12" x14ac:dyDescent="0.25">
      <c r="B285" s="17"/>
      <c r="H285" s="49"/>
      <c r="I285" s="49"/>
      <c r="J285" s="49"/>
      <c r="K285" s="49"/>
      <c r="L285" s="50"/>
    </row>
    <row r="286" spans="2:12" x14ac:dyDescent="0.25">
      <c r="B286" s="17"/>
      <c r="H286" s="49"/>
      <c r="I286" s="49"/>
      <c r="J286" s="49"/>
      <c r="K286" s="49"/>
      <c r="L286" s="50"/>
    </row>
    <row r="287" spans="2:12" x14ac:dyDescent="0.25">
      <c r="B287" s="17"/>
      <c r="H287" s="49"/>
      <c r="I287" s="49"/>
      <c r="J287" s="49"/>
      <c r="K287" s="49"/>
      <c r="L287" s="50"/>
    </row>
    <row r="288" spans="2:12" x14ac:dyDescent="0.25">
      <c r="B288" s="17"/>
      <c r="H288" s="49"/>
      <c r="I288" s="49"/>
      <c r="J288" s="49"/>
      <c r="K288" s="49"/>
      <c r="L288" s="50"/>
    </row>
    <row r="289" spans="2:12" x14ac:dyDescent="0.25">
      <c r="B289" s="17"/>
      <c r="H289" s="49"/>
      <c r="I289" s="49"/>
      <c r="J289" s="49"/>
      <c r="K289" s="49"/>
      <c r="L289" s="50"/>
    </row>
    <row r="290" spans="2:12" x14ac:dyDescent="0.25">
      <c r="B290" s="17"/>
      <c r="H290" s="49"/>
      <c r="I290" s="49"/>
      <c r="J290" s="49"/>
      <c r="K290" s="49"/>
      <c r="L290" s="50"/>
    </row>
    <row r="291" spans="2:12" x14ac:dyDescent="0.25">
      <c r="B291" s="17"/>
      <c r="H291" s="49"/>
      <c r="I291" s="49"/>
      <c r="J291" s="49"/>
      <c r="K291" s="49"/>
      <c r="L291" s="50"/>
    </row>
    <row r="292" spans="2:12" x14ac:dyDescent="0.25">
      <c r="B292" s="17"/>
      <c r="H292" s="49"/>
      <c r="I292" s="49"/>
      <c r="J292" s="49"/>
      <c r="K292" s="49"/>
      <c r="L292" s="50"/>
    </row>
    <row r="293" spans="2:12" x14ac:dyDescent="0.25">
      <c r="B293" s="17"/>
      <c r="H293" s="49"/>
      <c r="I293" s="49"/>
      <c r="J293" s="49"/>
      <c r="K293" s="49"/>
      <c r="L293" s="50"/>
    </row>
    <row r="294" spans="2:12" x14ac:dyDescent="0.25">
      <c r="B294" s="17"/>
      <c r="H294" s="49"/>
      <c r="I294" s="49"/>
      <c r="J294" s="49"/>
      <c r="K294" s="49"/>
      <c r="L294" s="50"/>
    </row>
    <row r="295" spans="2:12" x14ac:dyDescent="0.25">
      <c r="B295" s="17"/>
      <c r="H295" s="49"/>
      <c r="I295" s="49"/>
      <c r="J295" s="49"/>
      <c r="K295" s="49"/>
      <c r="L295" s="50"/>
    </row>
    <row r="296" spans="2:12" x14ac:dyDescent="0.25">
      <c r="B296" s="17"/>
      <c r="H296" s="49"/>
      <c r="I296" s="49"/>
      <c r="J296" s="49"/>
      <c r="K296" s="49"/>
      <c r="L296" s="50"/>
    </row>
    <row r="297" spans="2:12" x14ac:dyDescent="0.25">
      <c r="B297" s="17"/>
      <c r="H297" s="49"/>
      <c r="I297" s="49"/>
      <c r="J297" s="49"/>
      <c r="K297" s="49"/>
      <c r="L297" s="50"/>
    </row>
    <row r="298" spans="2:12" x14ac:dyDescent="0.25">
      <c r="B298" s="17"/>
      <c r="H298" s="49"/>
      <c r="I298" s="49"/>
      <c r="J298" s="49"/>
      <c r="K298" s="49"/>
      <c r="L298" s="50"/>
    </row>
    <row r="299" spans="2:12" x14ac:dyDescent="0.25">
      <c r="B299" s="17"/>
      <c r="H299" s="49"/>
      <c r="I299" s="49"/>
      <c r="J299" s="49"/>
      <c r="K299" s="49"/>
      <c r="L299" s="50"/>
    </row>
    <row r="300" spans="2:12" x14ac:dyDescent="0.25">
      <c r="B300" s="17"/>
      <c r="H300" s="49"/>
      <c r="I300" s="49"/>
      <c r="J300" s="49"/>
      <c r="K300" s="49"/>
      <c r="L300" s="50"/>
    </row>
    <row r="301" spans="2:12" x14ac:dyDescent="0.25">
      <c r="B301" s="17"/>
      <c r="H301" s="49"/>
      <c r="I301" s="49"/>
      <c r="J301" s="49"/>
      <c r="K301" s="49"/>
      <c r="L301" s="50"/>
    </row>
    <row r="302" spans="2:12" x14ac:dyDescent="0.25">
      <c r="B302" s="17"/>
      <c r="H302" s="49"/>
      <c r="I302" s="49"/>
      <c r="J302" s="49"/>
      <c r="K302" s="49"/>
      <c r="L302" s="50"/>
    </row>
    <row r="303" spans="2:12" x14ac:dyDescent="0.25">
      <c r="B303" s="17"/>
      <c r="H303" s="49"/>
      <c r="I303" s="49"/>
      <c r="J303" s="49"/>
      <c r="K303" s="49"/>
      <c r="L303" s="50"/>
    </row>
    <row r="304" spans="2:12" x14ac:dyDescent="0.25">
      <c r="B304" s="17"/>
      <c r="H304" s="49"/>
      <c r="I304" s="49"/>
      <c r="J304" s="49"/>
      <c r="K304" s="49"/>
      <c r="L304" s="50"/>
    </row>
    <row r="305" spans="2:12" x14ac:dyDescent="0.25">
      <c r="B305" s="17"/>
      <c r="H305" s="49"/>
      <c r="I305" s="49"/>
      <c r="J305" s="49"/>
      <c r="K305" s="49"/>
      <c r="L305" s="50"/>
    </row>
    <row r="306" spans="2:12" x14ac:dyDescent="0.25">
      <c r="B306" s="17"/>
      <c r="H306" s="49"/>
      <c r="I306" s="49"/>
      <c r="J306" s="49"/>
      <c r="K306" s="49"/>
      <c r="L306" s="50"/>
    </row>
    <row r="307" spans="2:12" x14ac:dyDescent="0.25">
      <c r="B307" s="17"/>
      <c r="H307" s="49"/>
      <c r="I307" s="49"/>
      <c r="J307" s="49"/>
      <c r="K307" s="49"/>
      <c r="L307" s="50"/>
    </row>
    <row r="308" spans="2:12" x14ac:dyDescent="0.25">
      <c r="B308" s="17"/>
      <c r="H308" s="49"/>
      <c r="I308" s="49"/>
      <c r="J308" s="49"/>
      <c r="K308" s="49"/>
      <c r="L308" s="50"/>
    </row>
    <row r="309" spans="2:12" x14ac:dyDescent="0.25">
      <c r="B309" s="17"/>
      <c r="H309" s="49"/>
      <c r="I309" s="49"/>
      <c r="J309" s="49"/>
      <c r="K309" s="49"/>
      <c r="L309" s="50"/>
    </row>
    <row r="310" spans="2:12" x14ac:dyDescent="0.25">
      <c r="B310" s="17"/>
      <c r="H310" s="49"/>
      <c r="I310" s="49"/>
      <c r="J310" s="49"/>
      <c r="K310" s="49"/>
      <c r="L310" s="50"/>
    </row>
    <row r="311" spans="2:12" x14ac:dyDescent="0.25">
      <c r="B311" s="17"/>
      <c r="H311" s="49"/>
      <c r="I311" s="49"/>
      <c r="J311" s="49"/>
      <c r="K311" s="49"/>
      <c r="L311" s="50"/>
    </row>
    <row r="312" spans="2:12" x14ac:dyDescent="0.25">
      <c r="B312" s="17"/>
      <c r="H312" s="49"/>
      <c r="I312" s="49"/>
      <c r="J312" s="49"/>
      <c r="K312" s="49"/>
      <c r="L312" s="50"/>
    </row>
    <row r="313" spans="2:12" x14ac:dyDescent="0.25">
      <c r="B313" s="17"/>
      <c r="H313" s="49"/>
      <c r="I313" s="49"/>
      <c r="J313" s="49"/>
      <c r="K313" s="49"/>
      <c r="L313" s="50"/>
    </row>
    <row r="314" spans="2:12" x14ac:dyDescent="0.25">
      <c r="B314" s="17"/>
      <c r="H314" s="49"/>
      <c r="I314" s="49"/>
      <c r="J314" s="49"/>
      <c r="K314" s="49"/>
      <c r="L314" s="50"/>
    </row>
    <row r="315" spans="2:12" x14ac:dyDescent="0.25">
      <c r="B315" s="17"/>
    </row>
    <row r="316" spans="2:12" x14ac:dyDescent="0.25">
      <c r="B316" s="17"/>
    </row>
    <row r="317" spans="2:12" x14ac:dyDescent="0.25">
      <c r="B317" s="17"/>
    </row>
    <row r="318" spans="2:12" x14ac:dyDescent="0.25">
      <c r="B318" s="17"/>
    </row>
    <row r="319" spans="2:12" x14ac:dyDescent="0.25">
      <c r="B319" s="17"/>
    </row>
    <row r="320" spans="2:12" x14ac:dyDescent="0.25">
      <c r="B320" s="17"/>
    </row>
    <row r="321" spans="2:2" x14ac:dyDescent="0.25">
      <c r="B321" s="17"/>
    </row>
    <row r="322" spans="2:2" x14ac:dyDescent="0.25">
      <c r="B322" s="17"/>
    </row>
    <row r="323" spans="2:2" x14ac:dyDescent="0.25">
      <c r="B323" s="17"/>
    </row>
    <row r="324" spans="2:2" x14ac:dyDescent="0.25">
      <c r="B324" s="17"/>
    </row>
    <row r="325" spans="2:2" x14ac:dyDescent="0.25">
      <c r="B325" s="17"/>
    </row>
    <row r="326" spans="2:2" x14ac:dyDescent="0.25">
      <c r="B326" s="17"/>
    </row>
    <row r="327" spans="2:2" x14ac:dyDescent="0.25">
      <c r="B327" s="17"/>
    </row>
    <row r="328" spans="2:2" x14ac:dyDescent="0.25">
      <c r="B328" s="17"/>
    </row>
    <row r="329" spans="2:2" x14ac:dyDescent="0.25">
      <c r="B329" s="17"/>
    </row>
    <row r="330" spans="2:2" x14ac:dyDescent="0.25">
      <c r="B330" s="17"/>
    </row>
    <row r="331" spans="2:2" x14ac:dyDescent="0.25">
      <c r="B331" s="17"/>
    </row>
    <row r="332" spans="2:2" x14ac:dyDescent="0.25">
      <c r="B332" s="17"/>
    </row>
    <row r="333" spans="2:2" x14ac:dyDescent="0.25">
      <c r="B333" s="17"/>
    </row>
    <row r="334" spans="2:2" x14ac:dyDescent="0.25">
      <c r="B334" s="17"/>
    </row>
    <row r="335" spans="2:2" x14ac:dyDescent="0.25">
      <c r="B335" s="17"/>
    </row>
    <row r="336" spans="2:2" x14ac:dyDescent="0.25">
      <c r="B336" s="17"/>
    </row>
    <row r="337" spans="2:2" x14ac:dyDescent="0.25">
      <c r="B337" s="17"/>
    </row>
    <row r="338" spans="2:2" x14ac:dyDescent="0.25">
      <c r="B338" s="17"/>
    </row>
    <row r="339" spans="2:2" x14ac:dyDescent="0.25">
      <c r="B339" s="17"/>
    </row>
    <row r="340" spans="2:2" x14ac:dyDescent="0.25">
      <c r="B340" s="17"/>
    </row>
    <row r="341" spans="2:2" x14ac:dyDescent="0.25">
      <c r="B341" s="17"/>
    </row>
    <row r="342" spans="2:2" x14ac:dyDescent="0.25">
      <c r="B342" s="17"/>
    </row>
    <row r="343" spans="2:2" x14ac:dyDescent="0.25">
      <c r="B343" s="17"/>
    </row>
    <row r="344" spans="2:2" x14ac:dyDescent="0.25">
      <c r="B344" s="17"/>
    </row>
    <row r="345" spans="2:2" x14ac:dyDescent="0.25">
      <c r="B345" s="17"/>
    </row>
    <row r="346" spans="2:2" x14ac:dyDescent="0.25">
      <c r="B346" s="17"/>
    </row>
    <row r="347" spans="2:2" x14ac:dyDescent="0.25">
      <c r="B347" s="17"/>
    </row>
    <row r="348" spans="2:2" x14ac:dyDescent="0.25">
      <c r="B348" s="17"/>
    </row>
    <row r="349" spans="2:2" x14ac:dyDescent="0.25">
      <c r="B349" s="17"/>
    </row>
    <row r="350" spans="2:2" x14ac:dyDescent="0.25">
      <c r="B350" s="17"/>
    </row>
    <row r="351" spans="2:2" x14ac:dyDescent="0.25">
      <c r="B351" s="17"/>
    </row>
    <row r="352" spans="2:2" x14ac:dyDescent="0.25">
      <c r="B352" s="17"/>
    </row>
    <row r="353" spans="2:2" x14ac:dyDescent="0.25">
      <c r="B353" s="17"/>
    </row>
    <row r="354" spans="2:2" x14ac:dyDescent="0.25">
      <c r="B354" s="17"/>
    </row>
    <row r="355" spans="2:2" x14ac:dyDescent="0.25">
      <c r="B355" s="17"/>
    </row>
    <row r="356" spans="2:2" x14ac:dyDescent="0.25">
      <c r="B356" s="17"/>
    </row>
    <row r="357" spans="2:2" x14ac:dyDescent="0.25">
      <c r="B357" s="17"/>
    </row>
    <row r="358" spans="2:2" x14ac:dyDescent="0.25">
      <c r="B358" s="17"/>
    </row>
    <row r="359" spans="2:2" x14ac:dyDescent="0.25">
      <c r="B359" s="17"/>
    </row>
    <row r="360" spans="2:2" x14ac:dyDescent="0.25">
      <c r="B360" s="17"/>
    </row>
    <row r="361" spans="2:2" x14ac:dyDescent="0.25">
      <c r="B361" s="17"/>
    </row>
    <row r="362" spans="2:2" x14ac:dyDescent="0.25">
      <c r="B362" s="17"/>
    </row>
    <row r="363" spans="2:2" x14ac:dyDescent="0.25">
      <c r="B363" s="17"/>
    </row>
    <row r="364" spans="2:2" x14ac:dyDescent="0.25">
      <c r="B364" s="17"/>
    </row>
    <row r="365" spans="2:2" x14ac:dyDescent="0.25">
      <c r="B365" s="17"/>
    </row>
    <row r="366" spans="2:2" x14ac:dyDescent="0.25">
      <c r="B366" s="17"/>
    </row>
    <row r="367" spans="2:2" x14ac:dyDescent="0.25">
      <c r="B367" s="17"/>
    </row>
    <row r="368" spans="2:2" x14ac:dyDescent="0.25">
      <c r="B368" s="17"/>
    </row>
    <row r="369" spans="2:2" x14ac:dyDescent="0.25">
      <c r="B369" s="17"/>
    </row>
    <row r="370" spans="2:2" x14ac:dyDescent="0.25">
      <c r="B370" s="17"/>
    </row>
    <row r="371" spans="2:2" x14ac:dyDescent="0.25">
      <c r="B371" s="17"/>
    </row>
    <row r="372" spans="2:2" x14ac:dyDescent="0.25">
      <c r="B372" s="17"/>
    </row>
    <row r="373" spans="2:2" x14ac:dyDescent="0.25">
      <c r="B373" s="17"/>
    </row>
    <row r="374" spans="2:2" x14ac:dyDescent="0.25">
      <c r="B374" s="17"/>
    </row>
    <row r="375" spans="2:2" x14ac:dyDescent="0.25">
      <c r="B375" s="17"/>
    </row>
    <row r="376" spans="2:2" x14ac:dyDescent="0.25">
      <c r="B376" s="17"/>
    </row>
    <row r="377" spans="2:2" x14ac:dyDescent="0.25">
      <c r="B377" s="17"/>
    </row>
    <row r="378" spans="2:2" x14ac:dyDescent="0.25">
      <c r="B378" s="17"/>
    </row>
    <row r="379" spans="2:2" x14ac:dyDescent="0.25">
      <c r="B379" s="17"/>
    </row>
    <row r="380" spans="2:2" x14ac:dyDescent="0.25">
      <c r="B380" s="17"/>
    </row>
    <row r="381" spans="2:2" x14ac:dyDescent="0.25">
      <c r="B381" s="17"/>
    </row>
    <row r="382" spans="2:2" x14ac:dyDescent="0.25">
      <c r="B382" s="17"/>
    </row>
    <row r="383" spans="2:2" x14ac:dyDescent="0.25">
      <c r="B383" s="17"/>
    </row>
    <row r="384" spans="2:2" x14ac:dyDescent="0.25">
      <c r="B384" s="17"/>
    </row>
    <row r="385" spans="2:2" x14ac:dyDescent="0.25">
      <c r="B385" s="17"/>
    </row>
    <row r="386" spans="2:2" x14ac:dyDescent="0.25">
      <c r="B386" s="17"/>
    </row>
    <row r="387" spans="2:2" x14ac:dyDescent="0.25">
      <c r="B387" s="17"/>
    </row>
    <row r="388" spans="2:2" x14ac:dyDescent="0.25">
      <c r="B388" s="17"/>
    </row>
    <row r="389" spans="2:2" x14ac:dyDescent="0.25">
      <c r="B389" s="17"/>
    </row>
    <row r="390" spans="2:2" x14ac:dyDescent="0.25">
      <c r="B390" s="17"/>
    </row>
    <row r="391" spans="2:2" x14ac:dyDescent="0.25">
      <c r="B391" s="17"/>
    </row>
    <row r="392" spans="2:2" x14ac:dyDescent="0.25">
      <c r="B392" s="17"/>
    </row>
    <row r="393" spans="2:2" x14ac:dyDescent="0.25">
      <c r="B393" s="17"/>
    </row>
    <row r="394" spans="2:2" x14ac:dyDescent="0.25">
      <c r="B394" s="17"/>
    </row>
    <row r="395" spans="2:2" x14ac:dyDescent="0.25">
      <c r="B395" s="17"/>
    </row>
    <row r="396" spans="2:2" x14ac:dyDescent="0.25">
      <c r="B396" s="17"/>
    </row>
    <row r="397" spans="2:2" x14ac:dyDescent="0.25">
      <c r="B397" s="17"/>
    </row>
    <row r="398" spans="2:2" x14ac:dyDescent="0.25">
      <c r="B398" s="17"/>
    </row>
    <row r="399" spans="2:2" x14ac:dyDescent="0.25">
      <c r="B399" s="17"/>
    </row>
    <row r="400" spans="2:2" x14ac:dyDescent="0.25">
      <c r="B400" s="17"/>
    </row>
    <row r="401" spans="2:2" x14ac:dyDescent="0.25">
      <c r="B401" s="17"/>
    </row>
    <row r="402" spans="2:2" x14ac:dyDescent="0.25">
      <c r="B402" s="17"/>
    </row>
    <row r="403" spans="2:2" x14ac:dyDescent="0.25">
      <c r="B403" s="17"/>
    </row>
    <row r="404" spans="2:2" x14ac:dyDescent="0.25">
      <c r="B404" s="17"/>
    </row>
    <row r="405" spans="2:2" x14ac:dyDescent="0.25">
      <c r="B405" s="17"/>
    </row>
    <row r="406" spans="2:2" x14ac:dyDescent="0.25">
      <c r="B406" s="17"/>
    </row>
    <row r="407" spans="2:2" x14ac:dyDescent="0.25">
      <c r="B407" s="17"/>
    </row>
    <row r="408" spans="2:2" x14ac:dyDescent="0.25">
      <c r="B408" s="17"/>
    </row>
    <row r="409" spans="2:2" x14ac:dyDescent="0.25">
      <c r="B409" s="17"/>
    </row>
    <row r="410" spans="2:2" x14ac:dyDescent="0.25">
      <c r="B410" s="17"/>
    </row>
    <row r="411" spans="2:2" x14ac:dyDescent="0.25">
      <c r="B411" s="17"/>
    </row>
    <row r="412" spans="2:2" x14ac:dyDescent="0.25">
      <c r="B412" s="17"/>
    </row>
    <row r="413" spans="2:2" x14ac:dyDescent="0.25">
      <c r="B413" s="17"/>
    </row>
    <row r="414" spans="2:2" x14ac:dyDescent="0.25">
      <c r="B414" s="17"/>
    </row>
    <row r="415" spans="2:2" x14ac:dyDescent="0.25">
      <c r="B415" s="17"/>
    </row>
    <row r="416" spans="2:2" x14ac:dyDescent="0.25">
      <c r="B416" s="17"/>
    </row>
    <row r="417" spans="2:2" x14ac:dyDescent="0.25">
      <c r="B417" s="17"/>
    </row>
    <row r="418" spans="2:2" x14ac:dyDescent="0.25">
      <c r="B418" s="17"/>
    </row>
    <row r="419" spans="2:2" x14ac:dyDescent="0.25">
      <c r="B419" s="17"/>
    </row>
    <row r="420" spans="2:2" x14ac:dyDescent="0.25">
      <c r="B420" s="17"/>
    </row>
    <row r="421" spans="2:2" x14ac:dyDescent="0.25">
      <c r="B421" s="17"/>
    </row>
    <row r="422" spans="2:2" x14ac:dyDescent="0.25">
      <c r="B422" s="17"/>
    </row>
    <row r="423" spans="2:2" x14ac:dyDescent="0.25">
      <c r="B423" s="17"/>
    </row>
    <row r="424" spans="2:2" x14ac:dyDescent="0.25">
      <c r="B424" s="17"/>
    </row>
    <row r="425" spans="2:2" x14ac:dyDescent="0.25">
      <c r="B425" s="17"/>
    </row>
    <row r="426" spans="2:2" x14ac:dyDescent="0.25">
      <c r="B426" s="17"/>
    </row>
    <row r="427" spans="2:2" x14ac:dyDescent="0.25">
      <c r="B427" s="17"/>
    </row>
    <row r="428" spans="2:2" x14ac:dyDescent="0.25">
      <c r="B428" s="17"/>
    </row>
    <row r="429" spans="2:2" x14ac:dyDescent="0.25">
      <c r="B429" s="17"/>
    </row>
    <row r="430" spans="2:2" x14ac:dyDescent="0.25">
      <c r="B430" s="17"/>
    </row>
    <row r="431" spans="2:2" x14ac:dyDescent="0.25">
      <c r="B431" s="17"/>
    </row>
    <row r="432" spans="2:2" x14ac:dyDescent="0.25">
      <c r="B432" s="17"/>
    </row>
    <row r="433" spans="2:2" x14ac:dyDescent="0.25">
      <c r="B433" s="17"/>
    </row>
    <row r="434" spans="2:2" x14ac:dyDescent="0.25">
      <c r="B434" s="17"/>
    </row>
    <row r="435" spans="2:2" x14ac:dyDescent="0.25">
      <c r="B435" s="17"/>
    </row>
    <row r="436" spans="2:2" x14ac:dyDescent="0.25">
      <c r="B436" s="17"/>
    </row>
    <row r="437" spans="2:2" x14ac:dyDescent="0.25">
      <c r="B437" s="17"/>
    </row>
    <row r="438" spans="2:2" x14ac:dyDescent="0.25">
      <c r="B438" s="17"/>
    </row>
    <row r="439" spans="2:2" x14ac:dyDescent="0.25">
      <c r="B439" s="17"/>
    </row>
    <row r="440" spans="2:2" x14ac:dyDescent="0.25">
      <c r="B440" s="17"/>
    </row>
    <row r="441" spans="2:2" x14ac:dyDescent="0.25">
      <c r="B441" s="17"/>
    </row>
    <row r="442" spans="2:2" x14ac:dyDescent="0.25">
      <c r="B442" s="17"/>
    </row>
    <row r="443" spans="2:2" x14ac:dyDescent="0.25">
      <c r="B443" s="17"/>
    </row>
    <row r="444" spans="2:2" x14ac:dyDescent="0.25">
      <c r="B444" s="17"/>
    </row>
    <row r="445" spans="2:2" x14ac:dyDescent="0.25">
      <c r="B445" s="17"/>
    </row>
    <row r="446" spans="2:2" x14ac:dyDescent="0.25">
      <c r="B446" s="17"/>
    </row>
    <row r="447" spans="2:2" x14ac:dyDescent="0.25">
      <c r="B447" s="17"/>
    </row>
    <row r="448" spans="2:2" x14ac:dyDescent="0.25">
      <c r="B448" s="17"/>
    </row>
    <row r="449" spans="2:2" x14ac:dyDescent="0.25">
      <c r="B449" s="17"/>
    </row>
    <row r="450" spans="2:2" x14ac:dyDescent="0.25">
      <c r="B450" s="17"/>
    </row>
    <row r="451" spans="2:2" x14ac:dyDescent="0.25">
      <c r="B451" s="17"/>
    </row>
    <row r="452" spans="2:2" x14ac:dyDescent="0.25">
      <c r="B452" s="17"/>
    </row>
    <row r="453" spans="2:2" x14ac:dyDescent="0.25">
      <c r="B453" s="17"/>
    </row>
    <row r="454" spans="2:2" x14ac:dyDescent="0.25">
      <c r="B454" s="17"/>
    </row>
    <row r="455" spans="2:2" x14ac:dyDescent="0.25">
      <c r="B455" s="17"/>
    </row>
    <row r="456" spans="2:2" x14ac:dyDescent="0.25">
      <c r="B456" s="17"/>
    </row>
    <row r="457" spans="2:2" x14ac:dyDescent="0.25">
      <c r="B457" s="17"/>
    </row>
    <row r="458" spans="2:2" x14ac:dyDescent="0.25">
      <c r="B458" s="17"/>
    </row>
    <row r="459" spans="2:2" x14ac:dyDescent="0.25">
      <c r="B459" s="17"/>
    </row>
    <row r="460" spans="2:2" x14ac:dyDescent="0.25">
      <c r="B460" s="17"/>
    </row>
    <row r="461" spans="2:2" x14ac:dyDescent="0.25">
      <c r="B461" s="17"/>
    </row>
    <row r="462" spans="2:2" x14ac:dyDescent="0.25">
      <c r="B462" s="17"/>
    </row>
    <row r="463" spans="2:2" x14ac:dyDescent="0.25">
      <c r="B463" s="17"/>
    </row>
    <row r="464" spans="2:2" x14ac:dyDescent="0.25">
      <c r="B464" s="17"/>
    </row>
    <row r="465" spans="2:2" x14ac:dyDescent="0.25">
      <c r="B465" s="17"/>
    </row>
    <row r="466" spans="2:2" x14ac:dyDescent="0.25">
      <c r="B466" s="17"/>
    </row>
    <row r="467" spans="2:2" x14ac:dyDescent="0.25">
      <c r="B467" s="17"/>
    </row>
    <row r="468" spans="2:2" x14ac:dyDescent="0.25">
      <c r="B468" s="17"/>
    </row>
    <row r="469" spans="2:2" x14ac:dyDescent="0.25">
      <c r="B469" s="17"/>
    </row>
    <row r="470" spans="2:2" x14ac:dyDescent="0.25">
      <c r="B470" s="17"/>
    </row>
    <row r="471" spans="2:2" x14ac:dyDescent="0.25">
      <c r="B471" s="17"/>
    </row>
    <row r="472" spans="2:2" x14ac:dyDescent="0.25">
      <c r="B472" s="17"/>
    </row>
    <row r="473" spans="2:2" x14ac:dyDescent="0.25">
      <c r="B473" s="17"/>
    </row>
    <row r="474" spans="2:2" x14ac:dyDescent="0.25">
      <c r="B474" s="17"/>
    </row>
    <row r="475" spans="2:2" x14ac:dyDescent="0.25">
      <c r="B475" s="17"/>
    </row>
    <row r="476" spans="2:2" x14ac:dyDescent="0.25">
      <c r="B476" s="17"/>
    </row>
    <row r="477" spans="2:2" x14ac:dyDescent="0.25">
      <c r="B477" s="17"/>
    </row>
    <row r="478" spans="2:2" x14ac:dyDescent="0.25">
      <c r="B478" s="17"/>
    </row>
    <row r="479" spans="2:2" x14ac:dyDescent="0.25">
      <c r="B479" s="17"/>
    </row>
    <row r="480" spans="2:2" x14ac:dyDescent="0.25">
      <c r="B480" s="17"/>
    </row>
    <row r="481" spans="2:2" x14ac:dyDescent="0.25">
      <c r="B481" s="17"/>
    </row>
    <row r="482" spans="2:2" x14ac:dyDescent="0.25">
      <c r="B482" s="17"/>
    </row>
    <row r="483" spans="2:2" x14ac:dyDescent="0.25">
      <c r="B483" s="17"/>
    </row>
    <row r="484" spans="2:2" x14ac:dyDescent="0.25">
      <c r="B484" s="17"/>
    </row>
    <row r="485" spans="2:2" x14ac:dyDescent="0.25">
      <c r="B485" s="17"/>
    </row>
    <row r="486" spans="2:2" x14ac:dyDescent="0.25">
      <c r="B486" s="17"/>
    </row>
    <row r="487" spans="2:2" x14ac:dyDescent="0.25">
      <c r="B487" s="17"/>
    </row>
    <row r="488" spans="2:2" x14ac:dyDescent="0.25">
      <c r="B488" s="17"/>
    </row>
    <row r="489" spans="2:2" x14ac:dyDescent="0.25">
      <c r="B489" s="17"/>
    </row>
    <row r="490" spans="2:2" x14ac:dyDescent="0.25">
      <c r="B490" s="17"/>
    </row>
    <row r="491" spans="2:2" x14ac:dyDescent="0.25">
      <c r="B491" s="17"/>
    </row>
    <row r="492" spans="2:2" x14ac:dyDescent="0.25">
      <c r="B492" s="17"/>
    </row>
    <row r="493" spans="2:2" x14ac:dyDescent="0.25">
      <c r="B493" s="17"/>
    </row>
    <row r="494" spans="2:2" x14ac:dyDescent="0.25">
      <c r="B494" s="17"/>
    </row>
    <row r="495" spans="2:2" x14ac:dyDescent="0.25">
      <c r="B495" s="17"/>
    </row>
    <row r="496" spans="2:2" x14ac:dyDescent="0.25">
      <c r="B496" s="17"/>
    </row>
    <row r="497" spans="2:2" x14ac:dyDescent="0.25">
      <c r="B497" s="17"/>
    </row>
    <row r="498" spans="2:2" x14ac:dyDescent="0.25">
      <c r="B498" s="17"/>
    </row>
    <row r="499" spans="2:2" x14ac:dyDescent="0.25">
      <c r="B499" s="17"/>
    </row>
    <row r="500" spans="2:2" x14ac:dyDescent="0.25">
      <c r="B500" s="17"/>
    </row>
    <row r="501" spans="2:2" x14ac:dyDescent="0.25">
      <c r="B501" s="17"/>
    </row>
    <row r="502" spans="2:2" x14ac:dyDescent="0.25">
      <c r="B502" s="17"/>
    </row>
    <row r="503" spans="2:2" x14ac:dyDescent="0.25">
      <c r="B503" s="17"/>
    </row>
    <row r="504" spans="2:2" x14ac:dyDescent="0.25">
      <c r="B504" s="17"/>
    </row>
    <row r="505" spans="2:2" x14ac:dyDescent="0.25">
      <c r="B505" s="17"/>
    </row>
    <row r="506" spans="2:2" x14ac:dyDescent="0.25">
      <c r="B506" s="17"/>
    </row>
    <row r="507" spans="2:2" x14ac:dyDescent="0.25">
      <c r="B507" s="17"/>
    </row>
    <row r="508" spans="2:2" x14ac:dyDescent="0.25">
      <c r="B508" s="17"/>
    </row>
    <row r="509" spans="2:2" x14ac:dyDescent="0.25">
      <c r="B509" s="17"/>
    </row>
    <row r="510" spans="2:2" x14ac:dyDescent="0.25">
      <c r="B510" s="17"/>
    </row>
    <row r="511" spans="2:2" x14ac:dyDescent="0.25">
      <c r="B511" s="17"/>
    </row>
    <row r="512" spans="2:2" x14ac:dyDescent="0.25">
      <c r="B512" s="17"/>
    </row>
    <row r="513" spans="2:2" x14ac:dyDescent="0.25">
      <c r="B513" s="17"/>
    </row>
    <row r="514" spans="2:2" x14ac:dyDescent="0.25">
      <c r="B514" s="17"/>
    </row>
    <row r="515" spans="2:2" x14ac:dyDescent="0.25">
      <c r="B515" s="17"/>
    </row>
    <row r="516" spans="2:2" x14ac:dyDescent="0.25">
      <c r="B516" s="17"/>
    </row>
    <row r="517" spans="2:2" x14ac:dyDescent="0.25">
      <c r="B517" s="17"/>
    </row>
    <row r="518" spans="2:2" x14ac:dyDescent="0.25">
      <c r="B518" s="17"/>
    </row>
    <row r="519" spans="2:2" x14ac:dyDescent="0.25">
      <c r="B519" s="17"/>
    </row>
    <row r="520" spans="2:2" x14ac:dyDescent="0.25">
      <c r="B520" s="17"/>
    </row>
    <row r="521" spans="2:2" x14ac:dyDescent="0.25">
      <c r="B521" s="17"/>
    </row>
    <row r="522" spans="2:2" x14ac:dyDescent="0.25">
      <c r="B522" s="17"/>
    </row>
    <row r="523" spans="2:2" x14ac:dyDescent="0.25">
      <c r="B523" s="17"/>
    </row>
    <row r="524" spans="2:2" x14ac:dyDescent="0.25">
      <c r="B524" s="17"/>
    </row>
    <row r="525" spans="2:2" x14ac:dyDescent="0.25">
      <c r="B525" s="17"/>
    </row>
    <row r="526" spans="2:2" x14ac:dyDescent="0.25">
      <c r="B526" s="17"/>
    </row>
    <row r="527" spans="2:2" x14ac:dyDescent="0.25">
      <c r="B527" s="17"/>
    </row>
    <row r="528" spans="2:2" x14ac:dyDescent="0.25">
      <c r="B528" s="17"/>
    </row>
    <row r="529" spans="2:2" x14ac:dyDescent="0.25">
      <c r="B529" s="17"/>
    </row>
    <row r="530" spans="2:2" x14ac:dyDescent="0.25">
      <c r="B530" s="17"/>
    </row>
    <row r="531" spans="2:2" x14ac:dyDescent="0.25">
      <c r="B531" s="17"/>
    </row>
    <row r="532" spans="2:2" x14ac:dyDescent="0.25">
      <c r="B532" s="17"/>
    </row>
    <row r="533" spans="2:2" x14ac:dyDescent="0.25">
      <c r="B533" s="17"/>
    </row>
    <row r="534" spans="2:2" x14ac:dyDescent="0.25">
      <c r="B534" s="17"/>
    </row>
    <row r="535" spans="2:2" x14ac:dyDescent="0.25">
      <c r="B535" s="17"/>
    </row>
    <row r="536" spans="2:2" x14ac:dyDescent="0.25">
      <c r="B536" s="17"/>
    </row>
    <row r="537" spans="2:2" x14ac:dyDescent="0.25">
      <c r="B537" s="17"/>
    </row>
    <row r="538" spans="2:2" x14ac:dyDescent="0.25">
      <c r="B538" s="17"/>
    </row>
    <row r="539" spans="2:2" x14ac:dyDescent="0.25">
      <c r="B539" s="17"/>
    </row>
    <row r="540" spans="2:2" x14ac:dyDescent="0.25">
      <c r="B540" s="17"/>
    </row>
    <row r="541" spans="2:2" x14ac:dyDescent="0.25">
      <c r="B541" s="17"/>
    </row>
    <row r="542" spans="2:2" x14ac:dyDescent="0.25">
      <c r="B542" s="17"/>
    </row>
    <row r="543" spans="2:2" x14ac:dyDescent="0.25">
      <c r="B543" s="17"/>
    </row>
    <row r="544" spans="2:2" x14ac:dyDescent="0.25">
      <c r="B544" s="17"/>
    </row>
    <row r="545" spans="2:2" x14ac:dyDescent="0.25">
      <c r="B545" s="17"/>
    </row>
    <row r="546" spans="2:2" x14ac:dyDescent="0.25">
      <c r="B546" s="17"/>
    </row>
    <row r="547" spans="2:2" x14ac:dyDescent="0.25">
      <c r="B547" s="17"/>
    </row>
    <row r="548" spans="2:2" x14ac:dyDescent="0.25">
      <c r="B548" s="17"/>
    </row>
    <row r="549" spans="2:2" x14ac:dyDescent="0.25">
      <c r="B549" s="17"/>
    </row>
    <row r="550" spans="2:2" x14ac:dyDescent="0.25">
      <c r="B550" s="17"/>
    </row>
    <row r="551" spans="2:2" x14ac:dyDescent="0.25">
      <c r="B551" s="17"/>
    </row>
    <row r="552" spans="2:2" x14ac:dyDescent="0.25">
      <c r="B552" s="17"/>
    </row>
    <row r="553" spans="2:2" x14ac:dyDescent="0.25">
      <c r="B553" s="17"/>
    </row>
    <row r="554" spans="2:2" x14ac:dyDescent="0.25">
      <c r="B554" s="17"/>
    </row>
    <row r="555" spans="2:2" x14ac:dyDescent="0.25">
      <c r="B555" s="17"/>
    </row>
    <row r="556" spans="2:2" x14ac:dyDescent="0.25">
      <c r="B556" s="17"/>
    </row>
    <row r="557" spans="2:2" x14ac:dyDescent="0.25">
      <c r="B557" s="17"/>
    </row>
    <row r="558" spans="2:2" x14ac:dyDescent="0.25">
      <c r="B558" s="17"/>
    </row>
    <row r="559" spans="2:2" x14ac:dyDescent="0.25">
      <c r="B559" s="17"/>
    </row>
    <row r="560" spans="2:2" x14ac:dyDescent="0.25">
      <c r="B560" s="17"/>
    </row>
    <row r="561" spans="2:2" x14ac:dyDescent="0.25">
      <c r="B561" s="17"/>
    </row>
    <row r="562" spans="2:2" x14ac:dyDescent="0.25">
      <c r="B562" s="17"/>
    </row>
    <row r="563" spans="2:2" x14ac:dyDescent="0.25">
      <c r="B563" s="17"/>
    </row>
    <row r="564" spans="2:2" x14ac:dyDescent="0.25">
      <c r="B564" s="17"/>
    </row>
    <row r="565" spans="2:2" x14ac:dyDescent="0.25">
      <c r="B565" s="17"/>
    </row>
    <row r="566" spans="2:2" x14ac:dyDescent="0.25">
      <c r="B566" s="17"/>
    </row>
    <row r="567" spans="2:2" x14ac:dyDescent="0.25">
      <c r="B567" s="17"/>
    </row>
    <row r="568" spans="2:2" x14ac:dyDescent="0.25">
      <c r="B568" s="17"/>
    </row>
    <row r="569" spans="2:2" x14ac:dyDescent="0.25">
      <c r="B569" s="17"/>
    </row>
    <row r="570" spans="2:2" x14ac:dyDescent="0.25">
      <c r="B570" s="17"/>
    </row>
    <row r="571" spans="2:2" x14ac:dyDescent="0.25">
      <c r="B571" s="17"/>
    </row>
    <row r="572" spans="2:2" x14ac:dyDescent="0.25">
      <c r="B572" s="17"/>
    </row>
    <row r="573" spans="2:2" x14ac:dyDescent="0.25">
      <c r="B573" s="17"/>
    </row>
    <row r="574" spans="2:2" x14ac:dyDescent="0.25">
      <c r="B574" s="17"/>
    </row>
    <row r="575" spans="2:2" x14ac:dyDescent="0.25">
      <c r="B575" s="17"/>
    </row>
    <row r="576" spans="2:2" x14ac:dyDescent="0.25">
      <c r="B576" s="17"/>
    </row>
    <row r="577" spans="2:2" x14ac:dyDescent="0.25">
      <c r="B577" s="17"/>
    </row>
    <row r="578" spans="2:2" x14ac:dyDescent="0.25">
      <c r="B578" s="17"/>
    </row>
    <row r="579" spans="2:2" x14ac:dyDescent="0.25">
      <c r="B579" s="17"/>
    </row>
    <row r="580" spans="2:2" x14ac:dyDescent="0.25">
      <c r="B580" s="17"/>
    </row>
    <row r="581" spans="2:2" x14ac:dyDescent="0.25">
      <c r="B581" s="17"/>
    </row>
    <row r="582" spans="2:2" x14ac:dyDescent="0.25">
      <c r="B582" s="17"/>
    </row>
    <row r="583" spans="2:2" x14ac:dyDescent="0.25">
      <c r="B583" s="17"/>
    </row>
    <row r="584" spans="2:2" x14ac:dyDescent="0.25">
      <c r="B584" s="17"/>
    </row>
    <row r="585" spans="2:2" x14ac:dyDescent="0.25">
      <c r="B585" s="17"/>
    </row>
    <row r="586" spans="2:2" x14ac:dyDescent="0.25">
      <c r="B586" s="17"/>
    </row>
    <row r="587" spans="2:2" x14ac:dyDescent="0.25">
      <c r="B587" s="17"/>
    </row>
    <row r="588" spans="2:2" x14ac:dyDescent="0.25">
      <c r="B588" s="17"/>
    </row>
    <row r="589" spans="2:2" x14ac:dyDescent="0.25">
      <c r="B589" s="17"/>
    </row>
    <row r="590" spans="2:2" x14ac:dyDescent="0.25">
      <c r="B590" s="17"/>
    </row>
    <row r="591" spans="2:2" x14ac:dyDescent="0.25">
      <c r="B591" s="17"/>
    </row>
    <row r="592" spans="2:2" x14ac:dyDescent="0.25">
      <c r="B592" s="17"/>
    </row>
    <row r="593" spans="2:2" x14ac:dyDescent="0.25">
      <c r="B593" s="17"/>
    </row>
    <row r="594" spans="2:2" x14ac:dyDescent="0.25">
      <c r="B594" s="17"/>
    </row>
    <row r="595" spans="2:2" x14ac:dyDescent="0.25">
      <c r="B595" s="17"/>
    </row>
    <row r="596" spans="2:2" x14ac:dyDescent="0.25">
      <c r="B596" s="17"/>
    </row>
    <row r="597" spans="2:2" x14ac:dyDescent="0.25">
      <c r="B597" s="17"/>
    </row>
    <row r="598" spans="2:2" x14ac:dyDescent="0.25">
      <c r="B598" s="17"/>
    </row>
    <row r="599" spans="2:2" x14ac:dyDescent="0.25">
      <c r="B599" s="17"/>
    </row>
    <row r="600" spans="2:2" x14ac:dyDescent="0.25">
      <c r="B600" s="17"/>
    </row>
    <row r="601" spans="2:2" x14ac:dyDescent="0.25">
      <c r="B601" s="17"/>
    </row>
    <row r="602" spans="2:2" x14ac:dyDescent="0.25">
      <c r="B602" s="17"/>
    </row>
    <row r="603" spans="2:2" x14ac:dyDescent="0.25">
      <c r="B603" s="17"/>
    </row>
    <row r="604" spans="2:2" x14ac:dyDescent="0.25">
      <c r="B604" s="17"/>
    </row>
    <row r="605" spans="2:2" x14ac:dyDescent="0.25">
      <c r="B605" s="17"/>
    </row>
    <row r="606" spans="2:2" x14ac:dyDescent="0.25">
      <c r="B606" s="17"/>
    </row>
    <row r="607" spans="2:2" x14ac:dyDescent="0.25">
      <c r="B607" s="17"/>
    </row>
    <row r="608" spans="2:2" x14ac:dyDescent="0.25">
      <c r="B608" s="17"/>
    </row>
    <row r="609" spans="2:2" x14ac:dyDescent="0.25">
      <c r="B609" s="17"/>
    </row>
    <row r="610" spans="2:2" x14ac:dyDescent="0.25">
      <c r="B610" s="17"/>
    </row>
    <row r="611" spans="2:2" x14ac:dyDescent="0.25">
      <c r="B611" s="17"/>
    </row>
    <row r="612" spans="2:2" x14ac:dyDescent="0.25">
      <c r="B612" s="17"/>
    </row>
    <row r="613" spans="2:2" x14ac:dyDescent="0.25">
      <c r="B613" s="17"/>
    </row>
    <row r="614" spans="2:2" x14ac:dyDescent="0.25">
      <c r="B614" s="17"/>
    </row>
    <row r="615" spans="2:2" x14ac:dyDescent="0.25">
      <c r="B615" s="17"/>
    </row>
    <row r="616" spans="2:2" x14ac:dyDescent="0.25">
      <c r="B616" s="17"/>
    </row>
    <row r="617" spans="2:2" x14ac:dyDescent="0.25">
      <c r="B617" s="17"/>
    </row>
    <row r="618" spans="2:2" x14ac:dyDescent="0.25">
      <c r="B618" s="17"/>
    </row>
    <row r="619" spans="2:2" x14ac:dyDescent="0.25">
      <c r="B619" s="17"/>
    </row>
    <row r="620" spans="2:2" x14ac:dyDescent="0.25">
      <c r="B620" s="17"/>
    </row>
    <row r="621" spans="2:2" x14ac:dyDescent="0.25">
      <c r="B621" s="17"/>
    </row>
    <row r="622" spans="2:2" x14ac:dyDescent="0.25">
      <c r="B622" s="17"/>
    </row>
    <row r="623" spans="2:2" x14ac:dyDescent="0.25">
      <c r="B623" s="17"/>
    </row>
    <row r="624" spans="2:2" x14ac:dyDescent="0.25">
      <c r="B624" s="17"/>
    </row>
    <row r="625" spans="2:2" x14ac:dyDescent="0.25">
      <c r="B625" s="17"/>
    </row>
    <row r="626" spans="2:2" x14ac:dyDescent="0.25">
      <c r="B626" s="17"/>
    </row>
    <row r="627" spans="2:2" x14ac:dyDescent="0.25">
      <c r="B627" s="17"/>
    </row>
    <row r="628" spans="2:2" x14ac:dyDescent="0.25">
      <c r="B628" s="17"/>
    </row>
    <row r="629" spans="2:2" x14ac:dyDescent="0.25">
      <c r="B629" s="17"/>
    </row>
    <row r="630" spans="2:2" x14ac:dyDescent="0.25">
      <c r="B630" s="17"/>
    </row>
    <row r="631" spans="2:2" x14ac:dyDescent="0.25">
      <c r="B631" s="17"/>
    </row>
    <row r="632" spans="2:2" x14ac:dyDescent="0.25">
      <c r="B632" s="17"/>
    </row>
    <row r="633" spans="2:2" x14ac:dyDescent="0.25">
      <c r="B633" s="17"/>
    </row>
    <row r="634" spans="2:2" x14ac:dyDescent="0.25">
      <c r="B634" s="17"/>
    </row>
    <row r="635" spans="2:2" x14ac:dyDescent="0.25">
      <c r="B635" s="17"/>
    </row>
    <row r="636" spans="2:2" x14ac:dyDescent="0.25">
      <c r="B636" s="17"/>
    </row>
    <row r="637" spans="2:2" x14ac:dyDescent="0.25">
      <c r="B637" s="17"/>
    </row>
    <row r="638" spans="2:2" x14ac:dyDescent="0.25">
      <c r="B638" s="17"/>
    </row>
    <row r="639" spans="2:2" x14ac:dyDescent="0.25">
      <c r="B639" s="17"/>
    </row>
    <row r="640" spans="2:2" x14ac:dyDescent="0.25">
      <c r="B640" s="17"/>
    </row>
    <row r="641" spans="2:2" x14ac:dyDescent="0.25">
      <c r="B641" s="17"/>
    </row>
    <row r="642" spans="2:2" x14ac:dyDescent="0.25">
      <c r="B642" s="17"/>
    </row>
    <row r="643" spans="2:2" x14ac:dyDescent="0.25">
      <c r="B643" s="17"/>
    </row>
    <row r="644" spans="2:2" x14ac:dyDescent="0.25">
      <c r="B644" s="17"/>
    </row>
    <row r="645" spans="2:2" x14ac:dyDescent="0.25">
      <c r="B645" s="17"/>
    </row>
    <row r="646" spans="2:2" x14ac:dyDescent="0.25">
      <c r="B646" s="17"/>
    </row>
    <row r="647" spans="2:2" x14ac:dyDescent="0.25">
      <c r="B647" s="17"/>
    </row>
    <row r="648" spans="2:2" x14ac:dyDescent="0.25">
      <c r="B648" s="17"/>
    </row>
    <row r="649" spans="2:2" x14ac:dyDescent="0.25">
      <c r="B649" s="17"/>
    </row>
    <row r="650" spans="2:2" x14ac:dyDescent="0.25">
      <c r="B650" s="17"/>
    </row>
    <row r="651" spans="2:2" x14ac:dyDescent="0.25">
      <c r="B651" s="17"/>
    </row>
    <row r="652" spans="2:2" x14ac:dyDescent="0.25">
      <c r="B652" s="17"/>
    </row>
    <row r="653" spans="2:2" x14ac:dyDescent="0.25">
      <c r="B653" s="17"/>
    </row>
    <row r="654" spans="2:2" x14ac:dyDescent="0.25">
      <c r="B654" s="17"/>
    </row>
    <row r="655" spans="2:2" x14ac:dyDescent="0.25">
      <c r="B655" s="17"/>
    </row>
    <row r="656" spans="2:2" x14ac:dyDescent="0.25">
      <c r="B656" s="17"/>
    </row>
    <row r="657" spans="2:2" x14ac:dyDescent="0.25">
      <c r="B657" s="17"/>
    </row>
    <row r="658" spans="2:2" x14ac:dyDescent="0.25">
      <c r="B658" s="17"/>
    </row>
    <row r="659" spans="2:2" x14ac:dyDescent="0.25">
      <c r="B659" s="17"/>
    </row>
    <row r="660" spans="2:2" x14ac:dyDescent="0.25">
      <c r="B660" s="17"/>
    </row>
    <row r="661" spans="2:2" x14ac:dyDescent="0.25">
      <c r="B661" s="17"/>
    </row>
    <row r="662" spans="2:2" x14ac:dyDescent="0.25">
      <c r="B662" s="17"/>
    </row>
    <row r="663" spans="2:2" x14ac:dyDescent="0.25">
      <c r="B663" s="17"/>
    </row>
    <row r="664" spans="2:2" x14ac:dyDescent="0.25">
      <c r="B664" s="17"/>
    </row>
    <row r="665" spans="2:2" x14ac:dyDescent="0.25">
      <c r="B665" s="17"/>
    </row>
    <row r="666" spans="2:2" x14ac:dyDescent="0.25">
      <c r="B666" s="17"/>
    </row>
    <row r="667" spans="2:2" x14ac:dyDescent="0.25">
      <c r="B667" s="17"/>
    </row>
    <row r="668" spans="2:2" x14ac:dyDescent="0.25">
      <c r="B668" s="17"/>
    </row>
    <row r="669" spans="2:2" x14ac:dyDescent="0.25">
      <c r="B669" s="17"/>
    </row>
    <row r="670" spans="2:2" x14ac:dyDescent="0.25">
      <c r="B670" s="17"/>
    </row>
    <row r="671" spans="2:2" x14ac:dyDescent="0.25">
      <c r="B671" s="17"/>
    </row>
    <row r="672" spans="2:2" x14ac:dyDescent="0.25">
      <c r="B672" s="17"/>
    </row>
    <row r="673" spans="2:2" x14ac:dyDescent="0.25">
      <c r="B673" s="17"/>
    </row>
    <row r="674" spans="2:2" x14ac:dyDescent="0.25">
      <c r="B674" s="17"/>
    </row>
    <row r="675" spans="2:2" x14ac:dyDescent="0.25">
      <c r="B675" s="17"/>
    </row>
    <row r="676" spans="2:2" x14ac:dyDescent="0.25">
      <c r="B676" s="17"/>
    </row>
    <row r="677" spans="2:2" x14ac:dyDescent="0.25">
      <c r="B677" s="17"/>
    </row>
    <row r="678" spans="2:2" x14ac:dyDescent="0.25">
      <c r="B678" s="17"/>
    </row>
    <row r="679" spans="2:2" x14ac:dyDescent="0.25">
      <c r="B679" s="17"/>
    </row>
    <row r="680" spans="2:2" x14ac:dyDescent="0.25">
      <c r="B680" s="17"/>
    </row>
    <row r="681" spans="2:2" x14ac:dyDescent="0.25">
      <c r="B681" s="17"/>
    </row>
    <row r="682" spans="2:2" x14ac:dyDescent="0.25">
      <c r="B682" s="17"/>
    </row>
    <row r="683" spans="2:2" x14ac:dyDescent="0.25">
      <c r="B683" s="17"/>
    </row>
    <row r="684" spans="2:2" x14ac:dyDescent="0.25">
      <c r="B684" s="17"/>
    </row>
    <row r="685" spans="2:2" x14ac:dyDescent="0.25">
      <c r="B685" s="17"/>
    </row>
    <row r="686" spans="2:2" x14ac:dyDescent="0.25">
      <c r="B686" s="17"/>
    </row>
    <row r="687" spans="2:2" x14ac:dyDescent="0.25">
      <c r="B687" s="17"/>
    </row>
    <row r="688" spans="2:2" x14ac:dyDescent="0.25">
      <c r="B688" s="17"/>
    </row>
    <row r="689" spans="2:2" x14ac:dyDescent="0.25">
      <c r="B689" s="17"/>
    </row>
    <row r="690" spans="2:2" x14ac:dyDescent="0.25">
      <c r="B690" s="17"/>
    </row>
    <row r="691" spans="2:2" x14ac:dyDescent="0.25">
      <c r="B691" s="17"/>
    </row>
    <row r="692" spans="2:2" x14ac:dyDescent="0.25">
      <c r="B692" s="17"/>
    </row>
    <row r="693" spans="2:2" x14ac:dyDescent="0.25">
      <c r="B693" s="17"/>
    </row>
    <row r="694" spans="2:2" x14ac:dyDescent="0.25">
      <c r="B694" s="17"/>
    </row>
    <row r="695" spans="2:2" x14ac:dyDescent="0.25">
      <c r="B695" s="17"/>
    </row>
    <row r="696" spans="2:2" x14ac:dyDescent="0.25">
      <c r="B696" s="17"/>
    </row>
    <row r="697" spans="2:2" x14ac:dyDescent="0.25">
      <c r="B697" s="17"/>
    </row>
    <row r="698" spans="2:2" x14ac:dyDescent="0.25">
      <c r="B698" s="17"/>
    </row>
    <row r="699" spans="2:2" x14ac:dyDescent="0.25">
      <c r="B699" s="17"/>
    </row>
    <row r="700" spans="2:2" x14ac:dyDescent="0.25">
      <c r="B700" s="17"/>
    </row>
    <row r="701" spans="2:2" x14ac:dyDescent="0.25">
      <c r="B701" s="17"/>
    </row>
    <row r="702" spans="2:2" x14ac:dyDescent="0.25">
      <c r="B702" s="17"/>
    </row>
    <row r="703" spans="2:2" x14ac:dyDescent="0.25">
      <c r="B703" s="17"/>
    </row>
    <row r="704" spans="2:2" x14ac:dyDescent="0.25">
      <c r="B704" s="17"/>
    </row>
    <row r="705" spans="2:2" x14ac:dyDescent="0.25">
      <c r="B705" s="17"/>
    </row>
    <row r="706" spans="2:2" x14ac:dyDescent="0.25">
      <c r="B706" s="17"/>
    </row>
    <row r="707" spans="2:2" x14ac:dyDescent="0.25">
      <c r="B707" s="17"/>
    </row>
    <row r="708" spans="2:2" x14ac:dyDescent="0.25">
      <c r="B708" s="17"/>
    </row>
    <row r="709" spans="2:2" x14ac:dyDescent="0.25">
      <c r="B709" s="17"/>
    </row>
    <row r="710" spans="2:2" x14ac:dyDescent="0.25">
      <c r="B710" s="17"/>
    </row>
    <row r="711" spans="2:2" x14ac:dyDescent="0.25">
      <c r="B711" s="17"/>
    </row>
    <row r="712" spans="2:2" x14ac:dyDescent="0.25">
      <c r="B712" s="17"/>
    </row>
    <row r="713" spans="2:2" x14ac:dyDescent="0.25">
      <c r="B713" s="17"/>
    </row>
    <row r="714" spans="2:2" x14ac:dyDescent="0.25">
      <c r="B714" s="17"/>
    </row>
    <row r="715" spans="2:2" x14ac:dyDescent="0.25">
      <c r="B715" s="17"/>
    </row>
    <row r="716" spans="2:2" x14ac:dyDescent="0.25">
      <c r="B716" s="17"/>
    </row>
    <row r="717" spans="2:2" x14ac:dyDescent="0.25">
      <c r="B717" s="17"/>
    </row>
    <row r="718" spans="2:2" x14ac:dyDescent="0.25">
      <c r="B718" s="17"/>
    </row>
    <row r="719" spans="2:2" x14ac:dyDescent="0.25">
      <c r="B719" s="17"/>
    </row>
    <row r="720" spans="2:2" x14ac:dyDescent="0.25">
      <c r="B720" s="17"/>
    </row>
    <row r="721" spans="2:2" x14ac:dyDescent="0.25">
      <c r="B721" s="17"/>
    </row>
    <row r="722" spans="2:2" x14ac:dyDescent="0.25">
      <c r="B722" s="17"/>
    </row>
    <row r="723" spans="2:2" x14ac:dyDescent="0.25">
      <c r="B723" s="17"/>
    </row>
    <row r="724" spans="2:2" x14ac:dyDescent="0.25">
      <c r="B724" s="17"/>
    </row>
    <row r="725" spans="2:2" x14ac:dyDescent="0.25">
      <c r="B725" s="17"/>
    </row>
    <row r="726" spans="2:2" x14ac:dyDescent="0.25">
      <c r="B726" s="17"/>
    </row>
    <row r="727" spans="2:2" x14ac:dyDescent="0.25">
      <c r="B727" s="17"/>
    </row>
    <row r="728" spans="2:2" x14ac:dyDescent="0.25">
      <c r="B728" s="17"/>
    </row>
    <row r="729" spans="2:2" x14ac:dyDescent="0.25">
      <c r="B729" s="17"/>
    </row>
    <row r="730" spans="2:2" x14ac:dyDescent="0.25">
      <c r="B730" s="17"/>
    </row>
    <row r="731" spans="2:2" x14ac:dyDescent="0.25">
      <c r="B731" s="17"/>
    </row>
    <row r="732" spans="2:2" x14ac:dyDescent="0.25">
      <c r="B732" s="17"/>
    </row>
    <row r="733" spans="2:2" x14ac:dyDescent="0.25">
      <c r="B733" s="17"/>
    </row>
    <row r="734" spans="2:2" x14ac:dyDescent="0.25">
      <c r="B734" s="17"/>
    </row>
    <row r="735" spans="2:2" x14ac:dyDescent="0.25">
      <c r="B735" s="17"/>
    </row>
    <row r="736" spans="2:2" x14ac:dyDescent="0.25">
      <c r="B736" s="17"/>
    </row>
    <row r="737" spans="2:2" x14ac:dyDescent="0.25">
      <c r="B737" s="17"/>
    </row>
    <row r="738" spans="2:2" x14ac:dyDescent="0.25">
      <c r="B738" s="17"/>
    </row>
    <row r="739" spans="2:2" x14ac:dyDescent="0.25">
      <c r="B739" s="17"/>
    </row>
    <row r="740" spans="2:2" x14ac:dyDescent="0.25">
      <c r="B740" s="17"/>
    </row>
    <row r="741" spans="2:2" x14ac:dyDescent="0.25">
      <c r="B741" s="17"/>
    </row>
    <row r="742" spans="2:2" x14ac:dyDescent="0.25">
      <c r="B742" s="17"/>
    </row>
    <row r="743" spans="2:2" x14ac:dyDescent="0.25">
      <c r="B743" s="17"/>
    </row>
    <row r="744" spans="2:2" x14ac:dyDescent="0.25">
      <c r="B744" s="17"/>
    </row>
    <row r="745" spans="2:2" x14ac:dyDescent="0.25">
      <c r="B745" s="17"/>
    </row>
    <row r="746" spans="2:2" x14ac:dyDescent="0.25">
      <c r="B746" s="17"/>
    </row>
    <row r="747" spans="2:2" x14ac:dyDescent="0.25">
      <c r="B747" s="17"/>
    </row>
    <row r="748" spans="2:2" x14ac:dyDescent="0.25">
      <c r="B748" s="17"/>
    </row>
    <row r="749" spans="2:2" x14ac:dyDescent="0.25">
      <c r="B749" s="17"/>
    </row>
    <row r="750" spans="2:2" x14ac:dyDescent="0.25">
      <c r="B750" s="17"/>
    </row>
    <row r="751" spans="2:2" x14ac:dyDescent="0.25">
      <c r="B751" s="17"/>
    </row>
    <row r="752" spans="2:2" x14ac:dyDescent="0.25">
      <c r="B752" s="17"/>
    </row>
    <row r="753" spans="2:2" x14ac:dyDescent="0.25">
      <c r="B753" s="17"/>
    </row>
    <row r="754" spans="2:2" x14ac:dyDescent="0.25">
      <c r="B754" s="17"/>
    </row>
    <row r="755" spans="2:2" x14ac:dyDescent="0.25">
      <c r="B755" s="17"/>
    </row>
    <row r="756" spans="2:2" x14ac:dyDescent="0.25">
      <c r="B756" s="17"/>
    </row>
    <row r="757" spans="2:2" x14ac:dyDescent="0.25">
      <c r="B757" s="17"/>
    </row>
    <row r="758" spans="2:2" x14ac:dyDescent="0.25">
      <c r="B758" s="17"/>
    </row>
    <row r="759" spans="2:2" x14ac:dyDescent="0.25">
      <c r="B759" s="17"/>
    </row>
    <row r="760" spans="2:2" x14ac:dyDescent="0.25">
      <c r="B760" s="17"/>
    </row>
    <row r="761" spans="2:2" x14ac:dyDescent="0.25">
      <c r="B761" s="17"/>
    </row>
    <row r="762" spans="2:2" x14ac:dyDescent="0.25">
      <c r="B762" s="17"/>
    </row>
    <row r="763" spans="2:2" x14ac:dyDescent="0.25">
      <c r="B763" s="17"/>
    </row>
    <row r="764" spans="2:2" x14ac:dyDescent="0.25">
      <c r="B764" s="17"/>
    </row>
    <row r="765" spans="2:2" x14ac:dyDescent="0.25">
      <c r="B765" s="17"/>
    </row>
    <row r="766" spans="2:2" x14ac:dyDescent="0.25">
      <c r="B766" s="17"/>
    </row>
    <row r="767" spans="2:2" x14ac:dyDescent="0.25">
      <c r="B767" s="17"/>
    </row>
    <row r="768" spans="2:2" x14ac:dyDescent="0.25">
      <c r="B768" s="17"/>
    </row>
    <row r="769" spans="2:2" x14ac:dyDescent="0.25">
      <c r="B769" s="17"/>
    </row>
    <row r="770" spans="2:2" x14ac:dyDescent="0.25">
      <c r="B770" s="17"/>
    </row>
    <row r="771" spans="2:2" x14ac:dyDescent="0.25">
      <c r="B771" s="17"/>
    </row>
    <row r="772" spans="2:2" x14ac:dyDescent="0.25">
      <c r="B772" s="17"/>
    </row>
    <row r="773" spans="2:2" x14ac:dyDescent="0.25">
      <c r="B773" s="17"/>
    </row>
    <row r="774" spans="2:2" x14ac:dyDescent="0.25">
      <c r="B774" s="17"/>
    </row>
    <row r="775" spans="2:2" x14ac:dyDescent="0.25">
      <c r="B775" s="17"/>
    </row>
    <row r="776" spans="2:2" x14ac:dyDescent="0.25">
      <c r="B776" s="17"/>
    </row>
    <row r="777" spans="2:2" x14ac:dyDescent="0.25">
      <c r="B777" s="17"/>
    </row>
    <row r="778" spans="2:2" x14ac:dyDescent="0.25">
      <c r="B778" s="17"/>
    </row>
    <row r="779" spans="2:2" x14ac:dyDescent="0.25">
      <c r="B779" s="17"/>
    </row>
    <row r="780" spans="2:2" x14ac:dyDescent="0.25">
      <c r="B780" s="17"/>
    </row>
    <row r="781" spans="2:2" x14ac:dyDescent="0.25">
      <c r="B781" s="17"/>
    </row>
    <row r="782" spans="2:2" x14ac:dyDescent="0.25">
      <c r="B782" s="17"/>
    </row>
    <row r="783" spans="2:2" x14ac:dyDescent="0.25">
      <c r="B783" s="17"/>
    </row>
    <row r="784" spans="2:2" x14ac:dyDescent="0.25">
      <c r="B784" s="17"/>
    </row>
    <row r="785" spans="2:2" x14ac:dyDescent="0.25">
      <c r="B785" s="17"/>
    </row>
    <row r="786" spans="2:2" x14ac:dyDescent="0.25">
      <c r="B786" s="17"/>
    </row>
    <row r="787" spans="2:2" x14ac:dyDescent="0.25">
      <c r="B787" s="17"/>
    </row>
    <row r="788" spans="2:2" x14ac:dyDescent="0.25">
      <c r="B788" s="17"/>
    </row>
    <row r="789" spans="2:2" x14ac:dyDescent="0.25">
      <c r="B789" s="17"/>
    </row>
    <row r="790" spans="2:2" x14ac:dyDescent="0.25">
      <c r="B790" s="17"/>
    </row>
    <row r="791" spans="2:2" x14ac:dyDescent="0.25">
      <c r="B791" s="17"/>
    </row>
    <row r="792" spans="2:2" x14ac:dyDescent="0.25">
      <c r="B792" s="17"/>
    </row>
    <row r="793" spans="2:2" x14ac:dyDescent="0.25">
      <c r="B793" s="17"/>
    </row>
    <row r="794" spans="2:2" x14ac:dyDescent="0.25">
      <c r="B794" s="17"/>
    </row>
    <row r="795" spans="2:2" x14ac:dyDescent="0.25">
      <c r="B795" s="17"/>
    </row>
    <row r="796" spans="2:2" x14ac:dyDescent="0.25">
      <c r="B796" s="17"/>
    </row>
    <row r="797" spans="2:2" x14ac:dyDescent="0.25">
      <c r="B797" s="17"/>
    </row>
    <row r="798" spans="2:2" x14ac:dyDescent="0.25">
      <c r="B798" s="17"/>
    </row>
    <row r="799" spans="2:2" x14ac:dyDescent="0.25">
      <c r="B799" s="17"/>
    </row>
    <row r="800" spans="2:2" x14ac:dyDescent="0.25">
      <c r="B800" s="17"/>
    </row>
    <row r="801" spans="2:2" x14ac:dyDescent="0.25">
      <c r="B801" s="17"/>
    </row>
    <row r="802" spans="2:2" x14ac:dyDescent="0.25">
      <c r="B802" s="17"/>
    </row>
    <row r="803" spans="2:2" x14ac:dyDescent="0.25">
      <c r="B803" s="17"/>
    </row>
    <row r="804" spans="2:2" x14ac:dyDescent="0.25">
      <c r="B804" s="17"/>
    </row>
    <row r="805" spans="2:2" x14ac:dyDescent="0.25">
      <c r="B805" s="17"/>
    </row>
    <row r="806" spans="2:2" x14ac:dyDescent="0.25">
      <c r="B806" s="17"/>
    </row>
    <row r="807" spans="2:2" x14ac:dyDescent="0.25">
      <c r="B807" s="17"/>
    </row>
    <row r="808" spans="2:2" x14ac:dyDescent="0.25">
      <c r="B808" s="17"/>
    </row>
    <row r="809" spans="2:2" x14ac:dyDescent="0.25">
      <c r="B809" s="17"/>
    </row>
    <row r="810" spans="2:2" x14ac:dyDescent="0.25">
      <c r="B810" s="17"/>
    </row>
    <row r="811" spans="2:2" x14ac:dyDescent="0.25">
      <c r="B811" s="17"/>
    </row>
    <row r="812" spans="2:2" x14ac:dyDescent="0.25">
      <c r="B812" s="17"/>
    </row>
    <row r="813" spans="2:2" x14ac:dyDescent="0.25">
      <c r="B813" s="17"/>
    </row>
    <row r="814" spans="2:2" x14ac:dyDescent="0.25">
      <c r="B814" s="17"/>
    </row>
    <row r="815" spans="2:2" x14ac:dyDescent="0.25">
      <c r="B815" s="17"/>
    </row>
    <row r="816" spans="2:2" x14ac:dyDescent="0.25">
      <c r="B816" s="17"/>
    </row>
    <row r="817" spans="2:2" x14ac:dyDescent="0.25">
      <c r="B817" s="17"/>
    </row>
    <row r="818" spans="2:2" x14ac:dyDescent="0.25">
      <c r="B818" s="17"/>
    </row>
    <row r="819" spans="2:2" x14ac:dyDescent="0.25">
      <c r="B819" s="17"/>
    </row>
    <row r="820" spans="2:2" x14ac:dyDescent="0.25">
      <c r="B820" s="17"/>
    </row>
    <row r="821" spans="2:2" x14ac:dyDescent="0.25">
      <c r="B821" s="17"/>
    </row>
    <row r="822" spans="2:2" x14ac:dyDescent="0.25">
      <c r="B822" s="17"/>
    </row>
    <row r="823" spans="2:2" x14ac:dyDescent="0.25">
      <c r="B823" s="17"/>
    </row>
    <row r="824" spans="2:2" x14ac:dyDescent="0.25">
      <c r="B824" s="17"/>
    </row>
    <row r="825" spans="2:2" x14ac:dyDescent="0.25">
      <c r="B825" s="17"/>
    </row>
    <row r="826" spans="2:2" x14ac:dyDescent="0.25">
      <c r="B826" s="17"/>
    </row>
    <row r="827" spans="2:2" x14ac:dyDescent="0.25">
      <c r="B827" s="17"/>
    </row>
    <row r="828" spans="2:2" x14ac:dyDescent="0.25">
      <c r="B828" s="17"/>
    </row>
    <row r="829" spans="2:2" x14ac:dyDescent="0.25">
      <c r="B829" s="17"/>
    </row>
    <row r="830" spans="2:2" x14ac:dyDescent="0.25">
      <c r="B830" s="17"/>
    </row>
    <row r="831" spans="2:2" x14ac:dyDescent="0.25">
      <c r="B831" s="17"/>
    </row>
    <row r="832" spans="2:2" x14ac:dyDescent="0.25">
      <c r="B832" s="17"/>
    </row>
    <row r="833" spans="2:2" x14ac:dyDescent="0.25">
      <c r="B833" s="17"/>
    </row>
    <row r="834" spans="2:2" x14ac:dyDescent="0.25">
      <c r="B834" s="17"/>
    </row>
    <row r="835" spans="2:2" x14ac:dyDescent="0.25">
      <c r="B835" s="17"/>
    </row>
    <row r="836" spans="2:2" x14ac:dyDescent="0.25">
      <c r="B836" s="17"/>
    </row>
    <row r="837" spans="2:2" x14ac:dyDescent="0.25">
      <c r="B837" s="17"/>
    </row>
    <row r="838" spans="2:2" x14ac:dyDescent="0.25">
      <c r="B838" s="17"/>
    </row>
    <row r="839" spans="2:2" x14ac:dyDescent="0.25">
      <c r="B839" s="17"/>
    </row>
    <row r="840" spans="2:2" x14ac:dyDescent="0.25">
      <c r="B840" s="17"/>
    </row>
    <row r="841" spans="2:2" x14ac:dyDescent="0.25">
      <c r="B841" s="17"/>
    </row>
    <row r="842" spans="2:2" x14ac:dyDescent="0.25">
      <c r="B842" s="17"/>
    </row>
    <row r="843" spans="2:2" x14ac:dyDescent="0.25">
      <c r="B843" s="17"/>
    </row>
    <row r="844" spans="2:2" x14ac:dyDescent="0.25">
      <c r="B844" s="17"/>
    </row>
    <row r="845" spans="2:2" x14ac:dyDescent="0.25">
      <c r="B845" s="17"/>
    </row>
    <row r="846" spans="2:2" x14ac:dyDescent="0.25">
      <c r="B846" s="17"/>
    </row>
    <row r="847" spans="2:2" x14ac:dyDescent="0.25">
      <c r="B847" s="17"/>
    </row>
    <row r="848" spans="2:2" x14ac:dyDescent="0.25">
      <c r="B848" s="17"/>
    </row>
    <row r="849" spans="2:2" x14ac:dyDescent="0.25">
      <c r="B849" s="17"/>
    </row>
    <row r="850" spans="2:2" x14ac:dyDescent="0.25">
      <c r="B850" s="17"/>
    </row>
    <row r="851" spans="2:2" x14ac:dyDescent="0.25">
      <c r="B851" s="17"/>
    </row>
    <row r="852" spans="2:2" x14ac:dyDescent="0.25">
      <c r="B852" s="17"/>
    </row>
    <row r="853" spans="2:2" x14ac:dyDescent="0.25">
      <c r="B853" s="17"/>
    </row>
    <row r="854" spans="2:2" x14ac:dyDescent="0.25">
      <c r="B854" s="17"/>
    </row>
    <row r="855" spans="2:2" x14ac:dyDescent="0.25">
      <c r="B855" s="17"/>
    </row>
    <row r="856" spans="2:2" x14ac:dyDescent="0.25">
      <c r="B856" s="17"/>
    </row>
    <row r="857" spans="2:2" x14ac:dyDescent="0.25">
      <c r="B857" s="17"/>
    </row>
    <row r="858" spans="2:2" x14ac:dyDescent="0.25">
      <c r="B858" s="17"/>
    </row>
    <row r="859" spans="2:2" x14ac:dyDescent="0.25">
      <c r="B859" s="17"/>
    </row>
    <row r="860" spans="2:2" x14ac:dyDescent="0.25">
      <c r="B860" s="17"/>
    </row>
    <row r="861" spans="2:2" x14ac:dyDescent="0.25">
      <c r="B861" s="17"/>
    </row>
    <row r="862" spans="2:2" x14ac:dyDescent="0.25">
      <c r="B862" s="17"/>
    </row>
    <row r="863" spans="2:2" x14ac:dyDescent="0.25">
      <c r="B863" s="17"/>
    </row>
    <row r="864" spans="2:2" x14ac:dyDescent="0.25">
      <c r="B864" s="17"/>
    </row>
    <row r="865" spans="2:2" x14ac:dyDescent="0.25">
      <c r="B865" s="17"/>
    </row>
    <row r="866" spans="2:2" x14ac:dyDescent="0.25">
      <c r="B866" s="17"/>
    </row>
    <row r="867" spans="2:2" x14ac:dyDescent="0.25">
      <c r="B867" s="17"/>
    </row>
    <row r="868" spans="2:2" x14ac:dyDescent="0.25">
      <c r="B868" s="17"/>
    </row>
    <row r="869" spans="2:2" x14ac:dyDescent="0.25">
      <c r="B869" s="17"/>
    </row>
    <row r="870" spans="2:2" x14ac:dyDescent="0.25">
      <c r="B870" s="17"/>
    </row>
    <row r="871" spans="2:2" x14ac:dyDescent="0.25">
      <c r="B871" s="17"/>
    </row>
    <row r="872" spans="2:2" x14ac:dyDescent="0.25">
      <c r="B872" s="17"/>
    </row>
    <row r="873" spans="2:2" x14ac:dyDescent="0.25">
      <c r="B873" s="17"/>
    </row>
    <row r="874" spans="2:2" x14ac:dyDescent="0.25">
      <c r="B874" s="17"/>
    </row>
    <row r="875" spans="2:2" x14ac:dyDescent="0.25">
      <c r="B875" s="17"/>
    </row>
    <row r="876" spans="2:2" x14ac:dyDescent="0.25">
      <c r="B876" s="17"/>
    </row>
    <row r="877" spans="2:2" x14ac:dyDescent="0.25">
      <c r="B877" s="17"/>
    </row>
    <row r="878" spans="2:2" x14ac:dyDescent="0.25">
      <c r="B878" s="17"/>
    </row>
    <row r="879" spans="2:2" x14ac:dyDescent="0.25">
      <c r="B879" s="17"/>
    </row>
    <row r="880" spans="2:2" x14ac:dyDescent="0.25">
      <c r="B880" s="17"/>
    </row>
    <row r="881" spans="2:2" x14ac:dyDescent="0.25">
      <c r="B881" s="17"/>
    </row>
    <row r="882" spans="2:2" x14ac:dyDescent="0.25">
      <c r="B882" s="17"/>
    </row>
    <row r="883" spans="2:2" x14ac:dyDescent="0.25">
      <c r="B883" s="17"/>
    </row>
    <row r="884" spans="2:2" x14ac:dyDescent="0.25">
      <c r="B884" s="17"/>
    </row>
    <row r="885" spans="2:2" x14ac:dyDescent="0.25">
      <c r="B885" s="17"/>
    </row>
    <row r="886" spans="2:2" x14ac:dyDescent="0.25">
      <c r="B886" s="17"/>
    </row>
    <row r="887" spans="2:2" x14ac:dyDescent="0.25">
      <c r="B887" s="17"/>
    </row>
    <row r="888" spans="2:2" x14ac:dyDescent="0.25">
      <c r="B888" s="17"/>
    </row>
    <row r="889" spans="2:2" x14ac:dyDescent="0.25">
      <c r="B889" s="17"/>
    </row>
    <row r="890" spans="2:2" x14ac:dyDescent="0.25">
      <c r="B890" s="17"/>
    </row>
    <row r="891" spans="2:2" x14ac:dyDescent="0.25">
      <c r="B891" s="17"/>
    </row>
    <row r="892" spans="2:2" x14ac:dyDescent="0.25">
      <c r="B892" s="17"/>
    </row>
    <row r="893" spans="2:2" x14ac:dyDescent="0.25">
      <c r="B893" s="17"/>
    </row>
    <row r="894" spans="2:2" x14ac:dyDescent="0.25">
      <c r="B894" s="17"/>
    </row>
    <row r="895" spans="2:2" x14ac:dyDescent="0.25">
      <c r="B895" s="17"/>
    </row>
    <row r="896" spans="2:2" x14ac:dyDescent="0.25">
      <c r="B896" s="17"/>
    </row>
    <row r="897" spans="2:2" x14ac:dyDescent="0.25">
      <c r="B897" s="17"/>
    </row>
    <row r="898" spans="2:2" x14ac:dyDescent="0.25">
      <c r="B898" s="17"/>
    </row>
    <row r="899" spans="2:2" x14ac:dyDescent="0.25">
      <c r="B899" s="17"/>
    </row>
    <row r="900" spans="2:2" x14ac:dyDescent="0.25">
      <c r="B900" s="17"/>
    </row>
    <row r="901" spans="2:2" x14ac:dyDescent="0.25">
      <c r="B901" s="17"/>
    </row>
    <row r="902" spans="2:2" x14ac:dyDescent="0.25">
      <c r="B902" s="17"/>
    </row>
    <row r="903" spans="2:2" x14ac:dyDescent="0.25">
      <c r="B903" s="17"/>
    </row>
    <row r="904" spans="2:2" x14ac:dyDescent="0.25">
      <c r="B904" s="17"/>
    </row>
    <row r="905" spans="2:2" x14ac:dyDescent="0.25">
      <c r="B905" s="17"/>
    </row>
    <row r="906" spans="2:2" x14ac:dyDescent="0.25">
      <c r="B906" s="17"/>
    </row>
    <row r="907" spans="2:2" x14ac:dyDescent="0.25">
      <c r="B907" s="17"/>
    </row>
    <row r="908" spans="2:2" x14ac:dyDescent="0.25">
      <c r="B908" s="17"/>
    </row>
    <row r="909" spans="2:2" x14ac:dyDescent="0.25">
      <c r="B909" s="17"/>
    </row>
    <row r="910" spans="2:2" x14ac:dyDescent="0.25">
      <c r="B910" s="17"/>
    </row>
    <row r="911" spans="2:2" x14ac:dyDescent="0.25">
      <c r="B911" s="17"/>
    </row>
    <row r="912" spans="2:2" x14ac:dyDescent="0.25">
      <c r="B912" s="17"/>
    </row>
    <row r="913" spans="2:2" x14ac:dyDescent="0.25">
      <c r="B913" s="17"/>
    </row>
    <row r="914" spans="2:2" x14ac:dyDescent="0.25">
      <c r="B914" s="17"/>
    </row>
    <row r="915" spans="2:2" x14ac:dyDescent="0.25">
      <c r="B915" s="17"/>
    </row>
    <row r="916" spans="2:2" x14ac:dyDescent="0.25">
      <c r="B916" s="17"/>
    </row>
    <row r="917" spans="2:2" x14ac:dyDescent="0.25">
      <c r="B917" s="17"/>
    </row>
    <row r="918" spans="2:2" x14ac:dyDescent="0.25">
      <c r="B918" s="17"/>
    </row>
    <row r="919" spans="2:2" x14ac:dyDescent="0.25">
      <c r="B919" s="17"/>
    </row>
    <row r="920" spans="2:2" x14ac:dyDescent="0.25">
      <c r="B920" s="17"/>
    </row>
    <row r="921" spans="2:2" x14ac:dyDescent="0.25">
      <c r="B921" s="17"/>
    </row>
    <row r="922" spans="2:2" x14ac:dyDescent="0.25">
      <c r="B922" s="17"/>
    </row>
    <row r="923" spans="2:2" x14ac:dyDescent="0.25">
      <c r="B923" s="17"/>
    </row>
    <row r="924" spans="2:2" x14ac:dyDescent="0.25">
      <c r="B924" s="17"/>
    </row>
    <row r="925" spans="2:2" x14ac:dyDescent="0.25">
      <c r="B925" s="17"/>
    </row>
    <row r="926" spans="2:2" x14ac:dyDescent="0.25">
      <c r="B926" s="17"/>
    </row>
    <row r="927" spans="2:2" x14ac:dyDescent="0.25">
      <c r="B927" s="17"/>
    </row>
    <row r="928" spans="2:2" x14ac:dyDescent="0.25">
      <c r="B928" s="17"/>
    </row>
    <row r="929" spans="2:2" x14ac:dyDescent="0.25">
      <c r="B929" s="17"/>
    </row>
    <row r="930" spans="2:2" x14ac:dyDescent="0.25">
      <c r="B930" s="17"/>
    </row>
    <row r="931" spans="2:2" x14ac:dyDescent="0.25">
      <c r="B931" s="17"/>
    </row>
    <row r="932" spans="2:2" x14ac:dyDescent="0.25">
      <c r="B932" s="17"/>
    </row>
    <row r="933" spans="2:2" x14ac:dyDescent="0.25">
      <c r="B933" s="17"/>
    </row>
    <row r="934" spans="2:2" x14ac:dyDescent="0.25">
      <c r="B934" s="17"/>
    </row>
    <row r="935" spans="2:2" x14ac:dyDescent="0.25">
      <c r="B935" s="17"/>
    </row>
    <row r="936" spans="2:2" x14ac:dyDescent="0.25">
      <c r="B936" s="17"/>
    </row>
    <row r="937" spans="2:2" x14ac:dyDescent="0.25">
      <c r="B937" s="17"/>
    </row>
    <row r="938" spans="2:2" x14ac:dyDescent="0.25">
      <c r="B938" s="17"/>
    </row>
    <row r="939" spans="2:2" x14ac:dyDescent="0.25">
      <c r="B939" s="17"/>
    </row>
    <row r="940" spans="2:2" x14ac:dyDescent="0.25">
      <c r="B940" s="17"/>
    </row>
    <row r="941" spans="2:2" x14ac:dyDescent="0.25">
      <c r="B941" s="17"/>
    </row>
    <row r="942" spans="2:2" x14ac:dyDescent="0.25">
      <c r="B942" s="17"/>
    </row>
    <row r="943" spans="2:2" x14ac:dyDescent="0.25">
      <c r="B943" s="17"/>
    </row>
    <row r="944" spans="2:2" x14ac:dyDescent="0.25">
      <c r="B944" s="17"/>
    </row>
    <row r="945" spans="2:2" x14ac:dyDescent="0.25">
      <c r="B945" s="17"/>
    </row>
    <row r="946" spans="2:2" x14ac:dyDescent="0.25">
      <c r="B946" s="17"/>
    </row>
    <row r="947" spans="2:2" x14ac:dyDescent="0.25">
      <c r="B947" s="17"/>
    </row>
    <row r="948" spans="2:2" x14ac:dyDescent="0.25">
      <c r="B948" s="17"/>
    </row>
    <row r="949" spans="2:2" x14ac:dyDescent="0.25">
      <c r="B949" s="17"/>
    </row>
    <row r="950" spans="2:2" x14ac:dyDescent="0.25">
      <c r="B950" s="17"/>
    </row>
    <row r="951" spans="2:2" x14ac:dyDescent="0.25">
      <c r="B951" s="17"/>
    </row>
    <row r="952" spans="2:2" x14ac:dyDescent="0.25">
      <c r="B952" s="17"/>
    </row>
    <row r="953" spans="2:2" x14ac:dyDescent="0.25">
      <c r="B953" s="17"/>
    </row>
    <row r="954" spans="2:2" x14ac:dyDescent="0.25">
      <c r="B954" s="17"/>
    </row>
    <row r="955" spans="2:2" x14ac:dyDescent="0.25">
      <c r="B955" s="17"/>
    </row>
    <row r="956" spans="2:2" x14ac:dyDescent="0.25">
      <c r="B956" s="17"/>
    </row>
    <row r="957" spans="2:2" x14ac:dyDescent="0.25">
      <c r="B957" s="17"/>
    </row>
    <row r="958" spans="2:2" x14ac:dyDescent="0.25">
      <c r="B958" s="17"/>
    </row>
    <row r="959" spans="2:2" x14ac:dyDescent="0.25">
      <c r="B959" s="17"/>
    </row>
    <row r="960" spans="2:2" x14ac:dyDescent="0.25">
      <c r="B960" s="17"/>
    </row>
    <row r="961" spans="2:2" x14ac:dyDescent="0.25">
      <c r="B961" s="17"/>
    </row>
    <row r="962" spans="2:2" x14ac:dyDescent="0.25">
      <c r="B962" s="17"/>
    </row>
    <row r="963" spans="2:2" x14ac:dyDescent="0.25">
      <c r="B963" s="17"/>
    </row>
    <row r="964" spans="2:2" x14ac:dyDescent="0.25">
      <c r="B964" s="17"/>
    </row>
    <row r="965" spans="2:2" x14ac:dyDescent="0.25">
      <c r="B965" s="17"/>
    </row>
    <row r="966" spans="2:2" x14ac:dyDescent="0.25">
      <c r="B966" s="17"/>
    </row>
    <row r="967" spans="2:2" x14ac:dyDescent="0.25">
      <c r="B967" s="17"/>
    </row>
    <row r="968" spans="2:2" x14ac:dyDescent="0.25">
      <c r="B968" s="17"/>
    </row>
    <row r="969" spans="2:2" x14ac:dyDescent="0.25">
      <c r="B969" s="17"/>
    </row>
    <row r="970" spans="2:2" x14ac:dyDescent="0.25">
      <c r="B970" s="17"/>
    </row>
    <row r="971" spans="2:2" x14ac:dyDescent="0.25">
      <c r="B971" s="17"/>
    </row>
    <row r="972" spans="2:2" x14ac:dyDescent="0.25">
      <c r="B972" s="17"/>
    </row>
    <row r="973" spans="2:2" x14ac:dyDescent="0.25">
      <c r="B973" s="17"/>
    </row>
    <row r="974" spans="2:2" x14ac:dyDescent="0.25">
      <c r="B974" s="17"/>
    </row>
    <row r="975" spans="2:2" x14ac:dyDescent="0.25">
      <c r="B975" s="17"/>
    </row>
    <row r="976" spans="2:2" x14ac:dyDescent="0.25">
      <c r="B976" s="17"/>
    </row>
    <row r="977" spans="2:2" x14ac:dyDescent="0.25">
      <c r="B977" s="17"/>
    </row>
    <row r="978" spans="2:2" x14ac:dyDescent="0.25">
      <c r="B978" s="17"/>
    </row>
    <row r="979" spans="2:2" x14ac:dyDescent="0.25">
      <c r="B979" s="17"/>
    </row>
    <row r="980" spans="2:2" x14ac:dyDescent="0.25">
      <c r="B980" s="17"/>
    </row>
    <row r="981" spans="2:2" x14ac:dyDescent="0.25">
      <c r="B981" s="17"/>
    </row>
    <row r="982" spans="2:2" x14ac:dyDescent="0.25">
      <c r="B982" s="17"/>
    </row>
    <row r="983" spans="2:2" x14ac:dyDescent="0.25">
      <c r="B983" s="17"/>
    </row>
    <row r="984" spans="2:2" x14ac:dyDescent="0.25">
      <c r="B984" s="17"/>
    </row>
    <row r="985" spans="2:2" x14ac:dyDescent="0.25">
      <c r="B985" s="17"/>
    </row>
    <row r="986" spans="2:2" x14ac:dyDescent="0.25">
      <c r="B986" s="17"/>
    </row>
    <row r="987" spans="2:2" x14ac:dyDescent="0.25">
      <c r="B987" s="17"/>
    </row>
    <row r="988" spans="2:2" x14ac:dyDescent="0.25">
      <c r="B988" s="17"/>
    </row>
    <row r="989" spans="2:2" x14ac:dyDescent="0.25">
      <c r="B989" s="17"/>
    </row>
    <row r="990" spans="2:2" x14ac:dyDescent="0.25">
      <c r="B990" s="17"/>
    </row>
    <row r="991" spans="2:2" x14ac:dyDescent="0.25">
      <c r="B991" s="17"/>
    </row>
    <row r="992" spans="2:2" x14ac:dyDescent="0.25">
      <c r="B992" s="17"/>
    </row>
    <row r="993" spans="2:2" x14ac:dyDescent="0.25">
      <c r="B993" s="17"/>
    </row>
    <row r="994" spans="2:2" x14ac:dyDescent="0.25">
      <c r="B994" s="17"/>
    </row>
    <row r="995" spans="2:2" x14ac:dyDescent="0.25">
      <c r="B995" s="17"/>
    </row>
    <row r="996" spans="2:2" x14ac:dyDescent="0.25">
      <c r="B996" s="17"/>
    </row>
    <row r="997" spans="2:2" x14ac:dyDescent="0.25">
      <c r="B997" s="17"/>
    </row>
    <row r="998" spans="2:2" x14ac:dyDescent="0.25">
      <c r="B998" s="17"/>
    </row>
    <row r="999" spans="2:2" x14ac:dyDescent="0.25">
      <c r="B999" s="17"/>
    </row>
    <row r="1000" spans="2:2" x14ac:dyDescent="0.25">
      <c r="B1000" s="17"/>
    </row>
    <row r="1001" spans="2:2" x14ac:dyDescent="0.25">
      <c r="B1001" s="17"/>
    </row>
  </sheetData>
  <autoFilter ref="B5:F168" xr:uid="{00000000-0009-0000-0000-000002000000}">
    <sortState xmlns:xlrd2="http://schemas.microsoft.com/office/spreadsheetml/2017/richdata2" ref="B5:F168">
      <sortCondition ref="F5:F168"/>
      <sortCondition ref="B5:B168"/>
      <sortCondition ref="E5:E168"/>
    </sortState>
  </autoFilter>
  <mergeCells count="3">
    <mergeCell ref="B1:F1"/>
    <mergeCell ref="B2:F2"/>
    <mergeCell ref="B3:F3"/>
  </mergeCells>
  <dataValidations count="1">
    <dataValidation type="custom" allowBlank="1" showErrorMessage="1" sqref="C6:C167 I156:I314" xr:uid="{00000000-0002-0000-0200-000000000000}">
      <formula1>EXACT(C6, UPPER(C6))</formula1>
    </dataValidation>
  </dataValidations>
  <printOptions horizontalCentered="1"/>
  <pageMargins left="0.25" right="0.25" top="0.75" bottom="0.75" header="0" footer="0"/>
  <pageSetup fitToHeight="0" pageOrder="overThenDown" orientation="portrait" cellComments="atEnd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1001"/>
  <sheetViews>
    <sheetView workbookViewId="0">
      <selection activeCell="D172" sqref="D172"/>
    </sheetView>
  </sheetViews>
  <sheetFormatPr defaultColWidth="12.6640625" defaultRowHeight="15.75" customHeight="1" x14ac:dyDescent="0.25"/>
  <cols>
    <col min="2" max="2" width="11.109375" bestFit="1" customWidth="1"/>
    <col min="3" max="3" width="14.77734375" bestFit="1" customWidth="1"/>
    <col min="4" max="4" width="38.109375" customWidth="1"/>
    <col min="5" max="5" width="20" bestFit="1" customWidth="1"/>
    <col min="6" max="6" width="11.88671875" bestFit="1" customWidth="1"/>
    <col min="7" max="7" width="24.109375" bestFit="1" customWidth="1"/>
  </cols>
  <sheetData>
    <row r="1" spans="1:26" x14ac:dyDescent="0.25">
      <c r="A1" s="1"/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88" t="s">
        <v>0</v>
      </c>
      <c r="C2" s="89"/>
      <c r="D2" s="89"/>
      <c r="E2" s="89"/>
      <c r="F2" s="89"/>
      <c r="G2" s="9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91" t="s">
        <v>1</v>
      </c>
      <c r="C3" s="89"/>
      <c r="D3" s="89"/>
      <c r="E3" s="89"/>
      <c r="F3" s="89"/>
      <c r="G3" s="9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92" t="s">
        <v>4</v>
      </c>
      <c r="C4" s="89"/>
      <c r="D4" s="89"/>
      <c r="E4" s="89"/>
      <c r="F4" s="89"/>
      <c r="G4" s="9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2"/>
      <c r="C5" s="14"/>
      <c r="D5" s="14"/>
      <c r="E5" s="14"/>
      <c r="F5" s="14"/>
      <c r="G5" s="1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9" t="s">
        <v>5</v>
      </c>
      <c r="C6" s="19" t="s">
        <v>6</v>
      </c>
      <c r="D6" s="19" t="s">
        <v>8</v>
      </c>
      <c r="E6" s="19" t="s">
        <v>9</v>
      </c>
      <c r="F6" s="19" t="s">
        <v>11</v>
      </c>
      <c r="G6" s="19" t="s">
        <v>14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8">
        <v>1</v>
      </c>
      <c r="C7" s="23" t="s">
        <v>17</v>
      </c>
      <c r="D7" s="23" t="s">
        <v>19</v>
      </c>
      <c r="E7" s="23">
        <v>9757214594</v>
      </c>
      <c r="F7" s="28" t="s">
        <v>21</v>
      </c>
      <c r="G7" s="102" t="s">
        <v>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22">
        <v>2</v>
      </c>
      <c r="C8" s="30" t="s">
        <v>24</v>
      </c>
      <c r="D8" s="30" t="s">
        <v>26</v>
      </c>
      <c r="E8" s="30">
        <v>7400148389</v>
      </c>
      <c r="F8" s="31" t="s">
        <v>21</v>
      </c>
      <c r="G8" s="9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22">
        <v>3</v>
      </c>
      <c r="C9" s="32" t="s">
        <v>28</v>
      </c>
      <c r="D9" s="32" t="s">
        <v>29</v>
      </c>
      <c r="E9" s="32">
        <v>8617789530</v>
      </c>
      <c r="F9" s="33" t="s">
        <v>21</v>
      </c>
      <c r="G9" s="9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22">
        <v>4</v>
      </c>
      <c r="C10" s="30" t="s">
        <v>31</v>
      </c>
      <c r="D10" s="30" t="s">
        <v>33</v>
      </c>
      <c r="E10" s="30">
        <v>9867633068</v>
      </c>
      <c r="F10" s="31" t="s">
        <v>21</v>
      </c>
      <c r="G10" s="9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22">
        <v>5</v>
      </c>
      <c r="C11" s="32" t="s">
        <v>34</v>
      </c>
      <c r="D11" s="32" t="s">
        <v>35</v>
      </c>
      <c r="E11" s="32">
        <v>8369358270</v>
      </c>
      <c r="F11" s="33" t="s">
        <v>21</v>
      </c>
      <c r="G11" s="9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22">
        <v>6</v>
      </c>
      <c r="C12" s="30" t="s">
        <v>36</v>
      </c>
      <c r="D12" s="30" t="s">
        <v>38</v>
      </c>
      <c r="E12" s="30">
        <v>7021472772</v>
      </c>
      <c r="F12" s="31" t="s">
        <v>21</v>
      </c>
      <c r="G12" s="9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22">
        <v>7</v>
      </c>
      <c r="C13" s="32" t="s">
        <v>39</v>
      </c>
      <c r="D13" s="32" t="s">
        <v>40</v>
      </c>
      <c r="E13" s="32">
        <v>8369926234</v>
      </c>
      <c r="F13" s="33" t="s">
        <v>21</v>
      </c>
      <c r="G13" s="9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22">
        <v>8</v>
      </c>
      <c r="C14" s="30" t="s">
        <v>41</v>
      </c>
      <c r="D14" s="30" t="s">
        <v>42</v>
      </c>
      <c r="E14" s="30">
        <v>8108967957</v>
      </c>
      <c r="F14" s="31" t="s">
        <v>21</v>
      </c>
      <c r="G14" s="9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2">
        <v>9</v>
      </c>
      <c r="C15" s="32" t="s">
        <v>43</v>
      </c>
      <c r="D15" s="32" t="s">
        <v>44</v>
      </c>
      <c r="E15" s="32">
        <v>9867198352</v>
      </c>
      <c r="F15" s="33" t="s">
        <v>21</v>
      </c>
      <c r="G15" s="9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2">
        <v>10</v>
      </c>
      <c r="C16" s="30" t="s">
        <v>46</v>
      </c>
      <c r="D16" s="30" t="s">
        <v>47</v>
      </c>
      <c r="E16" s="30">
        <v>9004989528</v>
      </c>
      <c r="F16" s="31" t="s">
        <v>21</v>
      </c>
      <c r="G16" s="9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8">
        <v>11</v>
      </c>
      <c r="C17" s="23" t="s">
        <v>48</v>
      </c>
      <c r="D17" s="23" t="s">
        <v>49</v>
      </c>
      <c r="E17" s="23">
        <v>9987764240</v>
      </c>
      <c r="F17" s="28" t="s">
        <v>21</v>
      </c>
      <c r="G17" s="102" t="s">
        <v>79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22">
        <v>12</v>
      </c>
      <c r="C18" s="30" t="s">
        <v>50</v>
      </c>
      <c r="D18" s="30" t="s">
        <v>51</v>
      </c>
      <c r="E18" s="30">
        <v>9137387752</v>
      </c>
      <c r="F18" s="31" t="s">
        <v>21</v>
      </c>
      <c r="G18" s="9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22">
        <v>13</v>
      </c>
      <c r="C19" s="32" t="s">
        <v>52</v>
      </c>
      <c r="D19" s="32" t="s">
        <v>53</v>
      </c>
      <c r="E19" s="32">
        <v>8169653310</v>
      </c>
      <c r="F19" s="33" t="s">
        <v>21</v>
      </c>
      <c r="G19" s="9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22">
        <v>14</v>
      </c>
      <c r="C20" s="30" t="s">
        <v>54</v>
      </c>
      <c r="D20" s="30" t="s">
        <v>55</v>
      </c>
      <c r="E20" s="30">
        <v>9967658133</v>
      </c>
      <c r="F20" s="31" t="s">
        <v>21</v>
      </c>
      <c r="G20" s="9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22">
        <v>15</v>
      </c>
      <c r="C21" s="32" t="s">
        <v>56</v>
      </c>
      <c r="D21" s="32" t="s">
        <v>57</v>
      </c>
      <c r="E21" s="32">
        <v>8329895687</v>
      </c>
      <c r="F21" s="33" t="s">
        <v>21</v>
      </c>
      <c r="G21" s="9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22">
        <v>16</v>
      </c>
      <c r="C22" s="30" t="s">
        <v>59</v>
      </c>
      <c r="D22" s="30" t="s">
        <v>60</v>
      </c>
      <c r="E22" s="30">
        <v>9920768085</v>
      </c>
      <c r="F22" s="31" t="s">
        <v>21</v>
      </c>
      <c r="G22" s="9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22">
        <v>17</v>
      </c>
      <c r="C23" s="32" t="s">
        <v>64</v>
      </c>
      <c r="D23" s="32" t="s">
        <v>65</v>
      </c>
      <c r="E23" s="32">
        <v>8689817414</v>
      </c>
      <c r="F23" s="33" t="s">
        <v>21</v>
      </c>
      <c r="G23" s="9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22">
        <v>18</v>
      </c>
      <c r="C24" s="30" t="s">
        <v>67</v>
      </c>
      <c r="D24" s="30" t="s">
        <v>68</v>
      </c>
      <c r="E24" s="30">
        <v>9987363612</v>
      </c>
      <c r="F24" s="31" t="s">
        <v>21</v>
      </c>
      <c r="G24" s="9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22">
        <v>19</v>
      </c>
      <c r="C25" s="32" t="s">
        <v>69</v>
      </c>
      <c r="D25" s="32" t="s">
        <v>70</v>
      </c>
      <c r="E25" s="32">
        <v>8329881698</v>
      </c>
      <c r="F25" s="33" t="s">
        <v>21</v>
      </c>
      <c r="G25" s="9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22">
        <v>20</v>
      </c>
      <c r="C26" s="30" t="s">
        <v>71</v>
      </c>
      <c r="D26" s="30" t="s">
        <v>72</v>
      </c>
      <c r="E26" s="30">
        <v>9223329774</v>
      </c>
      <c r="F26" s="31" t="s">
        <v>21</v>
      </c>
      <c r="G26" s="9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39">
        <v>21</v>
      </c>
      <c r="C27" s="40" t="s">
        <v>73</v>
      </c>
      <c r="D27" s="40" t="s">
        <v>74</v>
      </c>
      <c r="E27" s="40">
        <v>7045381682</v>
      </c>
      <c r="F27" s="41" t="s">
        <v>21</v>
      </c>
      <c r="G27" s="9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22">
        <v>22</v>
      </c>
      <c r="C28" s="30" t="s">
        <v>45</v>
      </c>
      <c r="D28" s="30" t="s">
        <v>58</v>
      </c>
      <c r="E28" s="30">
        <v>8879107327</v>
      </c>
      <c r="F28" s="42" t="s">
        <v>62</v>
      </c>
      <c r="G28" s="102" t="s">
        <v>147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22">
        <v>23</v>
      </c>
      <c r="C29" s="32" t="s">
        <v>75</v>
      </c>
      <c r="D29" s="32" t="s">
        <v>76</v>
      </c>
      <c r="E29" s="32">
        <v>9766592230</v>
      </c>
      <c r="F29" s="43" t="s">
        <v>62</v>
      </c>
      <c r="G29" s="9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22">
        <v>24</v>
      </c>
      <c r="C30" s="30" t="s">
        <v>77</v>
      </c>
      <c r="D30" s="30" t="s">
        <v>78</v>
      </c>
      <c r="E30" s="30">
        <v>8456815910</v>
      </c>
      <c r="F30" s="42" t="s">
        <v>62</v>
      </c>
      <c r="G30" s="9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22">
        <v>25</v>
      </c>
      <c r="C31" s="32" t="s">
        <v>80</v>
      </c>
      <c r="D31" s="32" t="s">
        <v>81</v>
      </c>
      <c r="E31" s="32">
        <v>9326094398</v>
      </c>
      <c r="F31" s="43" t="s">
        <v>62</v>
      </c>
      <c r="G31" s="9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22">
        <v>26</v>
      </c>
      <c r="C32" s="30" t="s">
        <v>82</v>
      </c>
      <c r="D32" s="30" t="s">
        <v>83</v>
      </c>
      <c r="E32" s="30">
        <v>7738488505</v>
      </c>
      <c r="F32" s="42" t="s">
        <v>62</v>
      </c>
      <c r="G32" s="9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22">
        <v>27</v>
      </c>
      <c r="C33" s="32" t="s">
        <v>84</v>
      </c>
      <c r="D33" s="32" t="s">
        <v>85</v>
      </c>
      <c r="E33" s="32">
        <v>8104697081</v>
      </c>
      <c r="F33" s="43" t="s">
        <v>62</v>
      </c>
      <c r="G33" s="9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22">
        <v>28</v>
      </c>
      <c r="C34" s="30" t="s">
        <v>86</v>
      </c>
      <c r="D34" s="30" t="s">
        <v>87</v>
      </c>
      <c r="E34" s="30">
        <v>8208097951</v>
      </c>
      <c r="F34" s="42" t="s">
        <v>62</v>
      </c>
      <c r="G34" s="9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22">
        <v>29</v>
      </c>
      <c r="C35" s="32" t="s">
        <v>88</v>
      </c>
      <c r="D35" s="32" t="s">
        <v>89</v>
      </c>
      <c r="E35" s="32">
        <v>9552816324</v>
      </c>
      <c r="F35" s="43" t="s">
        <v>62</v>
      </c>
      <c r="G35" s="9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22">
        <v>30</v>
      </c>
      <c r="C36" s="30" t="s">
        <v>91</v>
      </c>
      <c r="D36" s="30" t="s">
        <v>92</v>
      </c>
      <c r="E36" s="30">
        <v>8108755999</v>
      </c>
      <c r="F36" s="42" t="s">
        <v>62</v>
      </c>
      <c r="G36" s="9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22">
        <v>31</v>
      </c>
      <c r="C37" s="32" t="s">
        <v>93</v>
      </c>
      <c r="D37" s="32" t="s">
        <v>94</v>
      </c>
      <c r="E37" s="32">
        <v>9152166507</v>
      </c>
      <c r="F37" s="43" t="s">
        <v>62</v>
      </c>
      <c r="G37" s="9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22">
        <v>32</v>
      </c>
      <c r="C38" s="30" t="s">
        <v>95</v>
      </c>
      <c r="D38" s="30" t="s">
        <v>96</v>
      </c>
      <c r="E38" s="30">
        <v>9819155764</v>
      </c>
      <c r="F38" s="42" t="s">
        <v>62</v>
      </c>
      <c r="G38" s="9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8">
        <v>33</v>
      </c>
      <c r="C39" s="23" t="s">
        <v>99</v>
      </c>
      <c r="D39" s="23" t="s">
        <v>100</v>
      </c>
      <c r="E39" s="23">
        <v>9324987974</v>
      </c>
      <c r="F39" s="47" t="s">
        <v>62</v>
      </c>
      <c r="G39" s="102" t="s">
        <v>203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22">
        <v>34</v>
      </c>
      <c r="C40" s="30" t="s">
        <v>102</v>
      </c>
      <c r="D40" s="30" t="s">
        <v>103</v>
      </c>
      <c r="E40" s="30">
        <v>9307484139</v>
      </c>
      <c r="F40" s="42" t="s">
        <v>62</v>
      </c>
      <c r="G40" s="9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22">
        <v>35</v>
      </c>
      <c r="C41" s="32" t="s">
        <v>105</v>
      </c>
      <c r="D41" s="32" t="s">
        <v>106</v>
      </c>
      <c r="E41" s="32">
        <v>8275589550</v>
      </c>
      <c r="F41" s="43" t="s">
        <v>62</v>
      </c>
      <c r="G41" s="9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22">
        <v>36</v>
      </c>
      <c r="C42" s="30" t="s">
        <v>107</v>
      </c>
      <c r="D42" s="30" t="s">
        <v>108</v>
      </c>
      <c r="E42" s="30">
        <v>9082663796</v>
      </c>
      <c r="F42" s="42" t="s">
        <v>62</v>
      </c>
      <c r="G42" s="9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22">
        <v>37</v>
      </c>
      <c r="C43" s="32" t="s">
        <v>110</v>
      </c>
      <c r="D43" s="32" t="s">
        <v>111</v>
      </c>
      <c r="E43" s="32">
        <v>8652186570</v>
      </c>
      <c r="F43" s="43" t="s">
        <v>62</v>
      </c>
      <c r="G43" s="94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22">
        <v>38</v>
      </c>
      <c r="C44" s="30" t="s">
        <v>113</v>
      </c>
      <c r="D44" s="30" t="s">
        <v>114</v>
      </c>
      <c r="E44" s="30">
        <v>9403211247</v>
      </c>
      <c r="F44" s="42" t="s">
        <v>62</v>
      </c>
      <c r="G44" s="9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22">
        <v>39</v>
      </c>
      <c r="C45" s="32" t="s">
        <v>115</v>
      </c>
      <c r="D45" s="32" t="s">
        <v>116</v>
      </c>
      <c r="E45" s="32">
        <v>9167029632</v>
      </c>
      <c r="F45" s="43" t="s">
        <v>62</v>
      </c>
      <c r="G45" s="9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22">
        <v>40</v>
      </c>
      <c r="C46" s="30" t="s">
        <v>117</v>
      </c>
      <c r="D46" s="30" t="s">
        <v>118</v>
      </c>
      <c r="E46" s="30">
        <v>9764311207</v>
      </c>
      <c r="F46" s="42" t="s">
        <v>62</v>
      </c>
      <c r="G46" s="9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22">
        <v>41</v>
      </c>
      <c r="C47" s="32" t="s">
        <v>119</v>
      </c>
      <c r="D47" s="32" t="s">
        <v>120</v>
      </c>
      <c r="E47" s="32">
        <v>9321232991</v>
      </c>
      <c r="F47" s="43" t="s">
        <v>62</v>
      </c>
      <c r="G47" s="9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22">
        <v>42</v>
      </c>
      <c r="C48" s="30" t="s">
        <v>121</v>
      </c>
      <c r="D48" s="30" t="s">
        <v>122</v>
      </c>
      <c r="E48" s="30">
        <v>7208777716</v>
      </c>
      <c r="F48" s="42" t="s">
        <v>62</v>
      </c>
      <c r="G48" s="9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39">
        <v>43</v>
      </c>
      <c r="C49" s="40" t="s">
        <v>123</v>
      </c>
      <c r="D49" s="40" t="s">
        <v>124</v>
      </c>
      <c r="E49" s="40">
        <v>9324633282</v>
      </c>
      <c r="F49" s="48" t="s">
        <v>62</v>
      </c>
      <c r="G49" s="9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22">
        <v>44</v>
      </c>
      <c r="C50" s="30" t="s">
        <v>125</v>
      </c>
      <c r="D50" s="30" t="s">
        <v>126</v>
      </c>
      <c r="E50" s="30">
        <v>9967976058</v>
      </c>
      <c r="F50" s="42" t="s">
        <v>62</v>
      </c>
      <c r="G50" s="102" t="s">
        <v>260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22">
        <v>45</v>
      </c>
      <c r="C51" s="32" t="s">
        <v>127</v>
      </c>
      <c r="D51" s="32" t="s">
        <v>128</v>
      </c>
      <c r="E51" s="32">
        <v>8879923414</v>
      </c>
      <c r="F51" s="43" t="s">
        <v>62</v>
      </c>
      <c r="G51" s="9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22">
        <v>46</v>
      </c>
      <c r="C52" s="30" t="s">
        <v>129</v>
      </c>
      <c r="D52" s="30" t="s">
        <v>130</v>
      </c>
      <c r="E52" s="30">
        <v>7900042274</v>
      </c>
      <c r="F52" s="42" t="s">
        <v>62</v>
      </c>
      <c r="G52" s="9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22">
        <v>47</v>
      </c>
      <c r="C53" s="32" t="s">
        <v>132</v>
      </c>
      <c r="D53" s="32" t="s">
        <v>133</v>
      </c>
      <c r="E53" s="32">
        <v>9819340045</v>
      </c>
      <c r="F53" s="43" t="s">
        <v>62</v>
      </c>
      <c r="G53" s="9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22">
        <v>48</v>
      </c>
      <c r="C54" s="30" t="s">
        <v>134</v>
      </c>
      <c r="D54" s="30" t="s">
        <v>135</v>
      </c>
      <c r="E54" s="30">
        <v>9321683863</v>
      </c>
      <c r="F54" s="42" t="s">
        <v>62</v>
      </c>
      <c r="G54" s="9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22">
        <v>49</v>
      </c>
      <c r="C55" s="32" t="s">
        <v>136</v>
      </c>
      <c r="D55" s="32" t="s">
        <v>137</v>
      </c>
      <c r="E55" s="32">
        <v>8976246676</v>
      </c>
      <c r="F55" s="43" t="s">
        <v>62</v>
      </c>
      <c r="G55" s="9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22">
        <v>50</v>
      </c>
      <c r="C56" s="30" t="s">
        <v>139</v>
      </c>
      <c r="D56" s="30" t="s">
        <v>140</v>
      </c>
      <c r="E56" s="30">
        <v>8591912972</v>
      </c>
      <c r="F56" s="42" t="s">
        <v>62</v>
      </c>
      <c r="G56" s="9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22">
        <v>51</v>
      </c>
      <c r="C57" s="32" t="s">
        <v>141</v>
      </c>
      <c r="D57" s="32" t="s">
        <v>142</v>
      </c>
      <c r="E57" s="32">
        <v>9082600984</v>
      </c>
      <c r="F57" s="43" t="s">
        <v>62</v>
      </c>
      <c r="G57" s="9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22">
        <v>52</v>
      </c>
      <c r="C58" s="30" t="s">
        <v>143</v>
      </c>
      <c r="D58" s="30" t="s">
        <v>144</v>
      </c>
      <c r="E58" s="30">
        <v>9325937071</v>
      </c>
      <c r="F58" s="42" t="s">
        <v>62</v>
      </c>
      <c r="G58" s="9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22">
        <v>53</v>
      </c>
      <c r="C59" s="32" t="s">
        <v>145</v>
      </c>
      <c r="D59" s="32" t="s">
        <v>146</v>
      </c>
      <c r="E59" s="32">
        <v>8369741372</v>
      </c>
      <c r="F59" s="43" t="s">
        <v>62</v>
      </c>
      <c r="G59" s="9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22">
        <v>54</v>
      </c>
      <c r="C60" s="30" t="s">
        <v>148</v>
      </c>
      <c r="D60" s="30" t="s">
        <v>149</v>
      </c>
      <c r="E60" s="30">
        <v>9769741223</v>
      </c>
      <c r="F60" s="42" t="s">
        <v>62</v>
      </c>
      <c r="G60" s="9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8">
        <v>55</v>
      </c>
      <c r="C61" s="23" t="s">
        <v>150</v>
      </c>
      <c r="D61" s="23" t="s">
        <v>151</v>
      </c>
      <c r="E61" s="23">
        <v>8767949474</v>
      </c>
      <c r="F61" s="47" t="s">
        <v>62</v>
      </c>
      <c r="G61" s="102" t="s">
        <v>325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22">
        <v>56</v>
      </c>
      <c r="C62" s="30" t="s">
        <v>152</v>
      </c>
      <c r="D62" s="30" t="s">
        <v>153</v>
      </c>
      <c r="E62" s="30">
        <v>8108177441</v>
      </c>
      <c r="F62" s="42" t="s">
        <v>62</v>
      </c>
      <c r="G62" s="9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22">
        <v>57</v>
      </c>
      <c r="C63" s="32" t="s">
        <v>154</v>
      </c>
      <c r="D63" s="32" t="s">
        <v>155</v>
      </c>
      <c r="E63" s="32">
        <v>9653228849</v>
      </c>
      <c r="F63" s="43" t="s">
        <v>62</v>
      </c>
      <c r="G63" s="9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22">
        <v>58</v>
      </c>
      <c r="C64" s="30" t="s">
        <v>156</v>
      </c>
      <c r="D64" s="30" t="s">
        <v>157</v>
      </c>
      <c r="E64" s="30">
        <v>8879111540</v>
      </c>
      <c r="F64" s="42" t="s">
        <v>62</v>
      </c>
      <c r="G64" s="9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22">
        <v>59</v>
      </c>
      <c r="C65" s="32" t="s">
        <v>159</v>
      </c>
      <c r="D65" s="32" t="s">
        <v>160</v>
      </c>
      <c r="E65" s="32">
        <v>9137922617</v>
      </c>
      <c r="F65" s="43" t="s">
        <v>62</v>
      </c>
      <c r="G65" s="9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22">
        <v>60</v>
      </c>
      <c r="C66" s="30" t="s">
        <v>161</v>
      </c>
      <c r="D66" s="30" t="s">
        <v>162</v>
      </c>
      <c r="E66" s="30">
        <v>9930852966</v>
      </c>
      <c r="F66" s="42" t="s">
        <v>62</v>
      </c>
      <c r="G66" s="9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22">
        <v>61</v>
      </c>
      <c r="C67" s="32" t="s">
        <v>163</v>
      </c>
      <c r="D67" s="32" t="s">
        <v>164</v>
      </c>
      <c r="E67" s="32">
        <v>9930180889</v>
      </c>
      <c r="F67" s="43" t="s">
        <v>62</v>
      </c>
      <c r="G67" s="9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22">
        <v>62</v>
      </c>
      <c r="C68" s="30" t="s">
        <v>165</v>
      </c>
      <c r="D68" s="30" t="s">
        <v>166</v>
      </c>
      <c r="E68" s="30">
        <v>7021145043</v>
      </c>
      <c r="F68" s="42" t="s">
        <v>62</v>
      </c>
      <c r="G68" s="9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22">
        <v>63</v>
      </c>
      <c r="C69" s="32" t="s">
        <v>167</v>
      </c>
      <c r="D69" s="32" t="s">
        <v>168</v>
      </c>
      <c r="E69" s="32">
        <v>8169157085</v>
      </c>
      <c r="F69" s="43" t="s">
        <v>62</v>
      </c>
      <c r="G69" s="9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22">
        <v>64</v>
      </c>
      <c r="C70" s="30" t="s">
        <v>169</v>
      </c>
      <c r="D70" s="30" t="s">
        <v>170</v>
      </c>
      <c r="E70" s="30">
        <v>9822460453</v>
      </c>
      <c r="F70" s="42" t="s">
        <v>62</v>
      </c>
      <c r="G70" s="9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39">
        <v>65</v>
      </c>
      <c r="C71" s="40" t="s">
        <v>171</v>
      </c>
      <c r="D71" s="40" t="s">
        <v>172</v>
      </c>
      <c r="E71" s="40">
        <v>9987502452</v>
      </c>
      <c r="F71" s="48" t="s">
        <v>62</v>
      </c>
      <c r="G71" s="9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22">
        <v>66</v>
      </c>
      <c r="C72" s="30" t="s">
        <v>173</v>
      </c>
      <c r="D72" s="30" t="s">
        <v>174</v>
      </c>
      <c r="E72" s="30">
        <v>9076219025</v>
      </c>
      <c r="F72" s="42" t="s">
        <v>62</v>
      </c>
      <c r="G72" s="102" t="s">
        <v>371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22">
        <v>67</v>
      </c>
      <c r="C73" s="32" t="s">
        <v>175</v>
      </c>
      <c r="D73" s="32" t="s">
        <v>176</v>
      </c>
      <c r="E73" s="32">
        <v>8369598970</v>
      </c>
      <c r="F73" s="43" t="s">
        <v>62</v>
      </c>
      <c r="G73" s="9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22">
        <v>68</v>
      </c>
      <c r="C74" s="30" t="s">
        <v>178</v>
      </c>
      <c r="D74" s="30" t="s">
        <v>179</v>
      </c>
      <c r="E74" s="30">
        <v>8928806126</v>
      </c>
      <c r="F74" s="42" t="s">
        <v>62</v>
      </c>
      <c r="G74" s="9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22">
        <v>69</v>
      </c>
      <c r="C75" s="32" t="s">
        <v>181</v>
      </c>
      <c r="D75" s="32" t="s">
        <v>182</v>
      </c>
      <c r="E75" s="32">
        <v>7039543590</v>
      </c>
      <c r="F75" s="43" t="s">
        <v>62</v>
      </c>
      <c r="G75" s="9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22">
        <v>70</v>
      </c>
      <c r="C76" s="30" t="s">
        <v>183</v>
      </c>
      <c r="D76" s="30" t="s">
        <v>184</v>
      </c>
      <c r="E76" s="30">
        <v>8104878731</v>
      </c>
      <c r="F76" s="42" t="s">
        <v>62</v>
      </c>
      <c r="G76" s="9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22">
        <v>71</v>
      </c>
      <c r="C77" s="32" t="s">
        <v>186</v>
      </c>
      <c r="D77" s="32" t="s">
        <v>187</v>
      </c>
      <c r="E77" s="32">
        <v>7718005697</v>
      </c>
      <c r="F77" s="43" t="s">
        <v>62</v>
      </c>
      <c r="G77" s="9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22">
        <v>72</v>
      </c>
      <c r="C78" s="30" t="s">
        <v>188</v>
      </c>
      <c r="D78" s="30" t="s">
        <v>189</v>
      </c>
      <c r="E78" s="30">
        <v>7007079982</v>
      </c>
      <c r="F78" s="42" t="s">
        <v>62</v>
      </c>
      <c r="G78" s="9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22">
        <v>73</v>
      </c>
      <c r="C79" s="32" t="s">
        <v>190</v>
      </c>
      <c r="D79" s="32" t="s">
        <v>191</v>
      </c>
      <c r="E79" s="32">
        <v>8446930409</v>
      </c>
      <c r="F79" s="43" t="s">
        <v>62</v>
      </c>
      <c r="G79" s="9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22">
        <v>74</v>
      </c>
      <c r="C80" s="30" t="s">
        <v>193</v>
      </c>
      <c r="D80" s="30" t="s">
        <v>194</v>
      </c>
      <c r="E80" s="30">
        <v>8169258932</v>
      </c>
      <c r="F80" s="42" t="s">
        <v>62</v>
      </c>
      <c r="G80" s="9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22">
        <v>75</v>
      </c>
      <c r="C81" s="32" t="s">
        <v>195</v>
      </c>
      <c r="D81" s="32" t="s">
        <v>196</v>
      </c>
      <c r="E81" s="32">
        <v>9372237518</v>
      </c>
      <c r="F81" s="43" t="s">
        <v>62</v>
      </c>
      <c r="G81" s="9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8">
        <v>76</v>
      </c>
      <c r="C82" s="54" t="s">
        <v>198</v>
      </c>
      <c r="D82" s="54" t="s">
        <v>199</v>
      </c>
      <c r="E82" s="54">
        <v>7666013172</v>
      </c>
      <c r="F82" s="55" t="s">
        <v>62</v>
      </c>
      <c r="G82" s="102" t="s">
        <v>398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22">
        <v>77</v>
      </c>
      <c r="C83" s="32" t="s">
        <v>201</v>
      </c>
      <c r="D83" s="32" t="s">
        <v>202</v>
      </c>
      <c r="E83" s="32">
        <v>8928029700</v>
      </c>
      <c r="F83" s="43" t="s">
        <v>62</v>
      </c>
      <c r="G83" s="9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22">
        <v>78</v>
      </c>
      <c r="C84" s="30" t="s">
        <v>204</v>
      </c>
      <c r="D84" s="30" t="s">
        <v>205</v>
      </c>
      <c r="E84" s="30">
        <v>8850811196</v>
      </c>
      <c r="F84" s="42" t="s">
        <v>62</v>
      </c>
      <c r="G84" s="9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22">
        <v>79</v>
      </c>
      <c r="C85" s="32" t="s">
        <v>206</v>
      </c>
      <c r="D85" s="32" t="s">
        <v>207</v>
      </c>
      <c r="E85" s="32">
        <v>8291329439</v>
      </c>
      <c r="F85" s="43" t="s">
        <v>62</v>
      </c>
      <c r="G85" s="9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22">
        <v>80</v>
      </c>
      <c r="C86" s="30" t="s">
        <v>208</v>
      </c>
      <c r="D86" s="30" t="s">
        <v>209</v>
      </c>
      <c r="E86" s="30">
        <v>9321727748</v>
      </c>
      <c r="F86" s="42" t="s">
        <v>62</v>
      </c>
      <c r="G86" s="9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22">
        <v>81</v>
      </c>
      <c r="C87" s="32" t="s">
        <v>210</v>
      </c>
      <c r="D87" s="32" t="s">
        <v>211</v>
      </c>
      <c r="E87" s="32">
        <v>8087508532</v>
      </c>
      <c r="F87" s="43" t="s">
        <v>62</v>
      </c>
      <c r="G87" s="9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22">
        <v>82</v>
      </c>
      <c r="C88" s="30" t="s">
        <v>212</v>
      </c>
      <c r="D88" s="30" t="s">
        <v>213</v>
      </c>
      <c r="E88" s="30" t="s">
        <v>214</v>
      </c>
      <c r="F88" s="42" t="s">
        <v>62</v>
      </c>
      <c r="G88" s="9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22">
        <v>83</v>
      </c>
      <c r="C89" s="32" t="s">
        <v>215</v>
      </c>
      <c r="D89" s="32" t="s">
        <v>216</v>
      </c>
      <c r="E89" s="32">
        <v>9022237048</v>
      </c>
      <c r="F89" s="43" t="s">
        <v>62</v>
      </c>
      <c r="G89" s="9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22">
        <v>84</v>
      </c>
      <c r="C90" s="30" t="s">
        <v>217</v>
      </c>
      <c r="D90" s="30" t="s">
        <v>218</v>
      </c>
      <c r="E90" s="30">
        <v>7045468665</v>
      </c>
      <c r="F90" s="42" t="s">
        <v>62</v>
      </c>
      <c r="G90" s="9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39">
        <v>85</v>
      </c>
      <c r="C91" s="40" t="s">
        <v>219</v>
      </c>
      <c r="D91" s="40" t="s">
        <v>220</v>
      </c>
      <c r="E91" s="40">
        <v>7977687802</v>
      </c>
      <c r="F91" s="48" t="s">
        <v>62</v>
      </c>
      <c r="G91" s="9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22">
        <v>86</v>
      </c>
      <c r="C92" s="30" t="s">
        <v>221</v>
      </c>
      <c r="D92" s="30" t="s">
        <v>222</v>
      </c>
      <c r="E92" s="30">
        <v>8591929196</v>
      </c>
      <c r="F92" s="42" t="s">
        <v>62</v>
      </c>
      <c r="G92" s="102" t="s">
        <v>401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22">
        <v>87</v>
      </c>
      <c r="C93" s="32" t="s">
        <v>224</v>
      </c>
      <c r="D93" s="32" t="s">
        <v>225</v>
      </c>
      <c r="E93" s="32">
        <v>8850658323</v>
      </c>
      <c r="F93" s="43" t="s">
        <v>62</v>
      </c>
      <c r="G93" s="9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22">
        <v>88</v>
      </c>
      <c r="C94" s="30" t="s">
        <v>226</v>
      </c>
      <c r="D94" s="30" t="s">
        <v>227</v>
      </c>
      <c r="E94" s="30">
        <v>8169003379</v>
      </c>
      <c r="F94" s="42" t="s">
        <v>62</v>
      </c>
      <c r="G94" s="9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22">
        <v>89</v>
      </c>
      <c r="C95" s="32" t="s">
        <v>228</v>
      </c>
      <c r="D95" s="32" t="s">
        <v>229</v>
      </c>
      <c r="E95" s="32">
        <v>8252495040</v>
      </c>
      <c r="F95" s="43" t="s">
        <v>62</v>
      </c>
      <c r="G95" s="9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22">
        <v>90</v>
      </c>
      <c r="C96" s="30" t="s">
        <v>230</v>
      </c>
      <c r="D96" s="30" t="s">
        <v>231</v>
      </c>
      <c r="E96" s="30">
        <v>7385636493</v>
      </c>
      <c r="F96" s="42" t="s">
        <v>62</v>
      </c>
      <c r="G96" s="9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22">
        <v>91</v>
      </c>
      <c r="C97" s="32" t="s">
        <v>232</v>
      </c>
      <c r="D97" s="32" t="s">
        <v>233</v>
      </c>
      <c r="E97" s="32">
        <v>8104852325</v>
      </c>
      <c r="F97" s="43" t="s">
        <v>62</v>
      </c>
      <c r="G97" s="9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22">
        <v>92</v>
      </c>
      <c r="C98" s="30" t="s">
        <v>234</v>
      </c>
      <c r="D98" s="30" t="s">
        <v>235</v>
      </c>
      <c r="E98" s="30">
        <v>7977256070</v>
      </c>
      <c r="F98" s="42" t="s">
        <v>62</v>
      </c>
      <c r="G98" s="9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22">
        <v>93</v>
      </c>
      <c r="C99" s="32" t="s">
        <v>236</v>
      </c>
      <c r="D99" s="32" t="s">
        <v>237</v>
      </c>
      <c r="E99" s="32">
        <v>8369739966</v>
      </c>
      <c r="F99" s="43" t="s">
        <v>62</v>
      </c>
      <c r="G99" s="9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22">
        <v>94</v>
      </c>
      <c r="C100" s="30" t="s">
        <v>238</v>
      </c>
      <c r="D100" s="30" t="s">
        <v>239</v>
      </c>
      <c r="E100" s="30">
        <v>9769197130</v>
      </c>
      <c r="F100" s="42" t="s">
        <v>62</v>
      </c>
      <c r="G100" s="9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39">
        <v>95</v>
      </c>
      <c r="C101" s="40" t="s">
        <v>242</v>
      </c>
      <c r="D101" s="40" t="s">
        <v>243</v>
      </c>
      <c r="E101" s="40">
        <v>9136134339</v>
      </c>
      <c r="F101" s="48" t="s">
        <v>62</v>
      </c>
      <c r="G101" s="9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8">
        <v>96</v>
      </c>
      <c r="C102" s="54" t="s">
        <v>244</v>
      </c>
      <c r="D102" s="54" t="s">
        <v>245</v>
      </c>
      <c r="E102" s="54">
        <v>9172992100</v>
      </c>
      <c r="F102" s="56" t="s">
        <v>246</v>
      </c>
      <c r="G102" s="102" t="s">
        <v>406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22">
        <v>97</v>
      </c>
      <c r="C103" s="32" t="s">
        <v>247</v>
      </c>
      <c r="D103" s="32" t="s">
        <v>248</v>
      </c>
      <c r="E103" s="32">
        <v>7304725048</v>
      </c>
      <c r="F103" s="33" t="s">
        <v>246</v>
      </c>
      <c r="G103" s="9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22">
        <v>98</v>
      </c>
      <c r="C104" s="30" t="s">
        <v>249</v>
      </c>
      <c r="D104" s="30" t="s">
        <v>250</v>
      </c>
      <c r="E104" s="30">
        <v>9021869940</v>
      </c>
      <c r="F104" s="31" t="s">
        <v>246</v>
      </c>
      <c r="G104" s="9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22">
        <v>99</v>
      </c>
      <c r="C105" s="32" t="s">
        <v>251</v>
      </c>
      <c r="D105" s="32" t="s">
        <v>252</v>
      </c>
      <c r="E105" s="32">
        <v>9594093061</v>
      </c>
      <c r="F105" s="33" t="s">
        <v>246</v>
      </c>
      <c r="G105" s="9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22">
        <v>100</v>
      </c>
      <c r="C106" s="30" t="s">
        <v>253</v>
      </c>
      <c r="D106" s="30" t="s">
        <v>254</v>
      </c>
      <c r="E106" s="30">
        <v>9324957911</v>
      </c>
      <c r="F106" s="31" t="s">
        <v>246</v>
      </c>
      <c r="G106" s="9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22">
        <v>101</v>
      </c>
      <c r="C107" s="32" t="s">
        <v>255</v>
      </c>
      <c r="D107" s="32" t="s">
        <v>256</v>
      </c>
      <c r="E107" s="32">
        <v>8657656240</v>
      </c>
      <c r="F107" s="33" t="s">
        <v>246</v>
      </c>
      <c r="G107" s="9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22">
        <v>102</v>
      </c>
      <c r="C108" s="30" t="s">
        <v>257</v>
      </c>
      <c r="D108" s="30" t="s">
        <v>258</v>
      </c>
      <c r="E108" s="30" t="s">
        <v>259</v>
      </c>
      <c r="F108" s="31" t="s">
        <v>246</v>
      </c>
      <c r="G108" s="9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22">
        <v>103</v>
      </c>
      <c r="C109" s="32" t="s">
        <v>261</v>
      </c>
      <c r="D109" s="32" t="s">
        <v>262</v>
      </c>
      <c r="E109" s="32">
        <v>9082091556</v>
      </c>
      <c r="F109" s="33" t="s">
        <v>246</v>
      </c>
      <c r="G109" s="9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22">
        <v>104</v>
      </c>
      <c r="C110" s="30" t="s">
        <v>263</v>
      </c>
      <c r="D110" s="30" t="s">
        <v>264</v>
      </c>
      <c r="E110" s="30">
        <v>8604538806</v>
      </c>
      <c r="F110" s="31" t="s">
        <v>246</v>
      </c>
      <c r="G110" s="9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39">
        <v>105</v>
      </c>
      <c r="C111" s="40" t="s">
        <v>265</v>
      </c>
      <c r="D111" s="40" t="s">
        <v>266</v>
      </c>
      <c r="E111" s="40">
        <v>7004704336</v>
      </c>
      <c r="F111" s="41" t="s">
        <v>246</v>
      </c>
      <c r="G111" s="9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22">
        <v>106</v>
      </c>
      <c r="C112" s="30" t="s">
        <v>267</v>
      </c>
      <c r="D112" s="30" t="s">
        <v>268</v>
      </c>
      <c r="E112" s="30">
        <v>9076440709</v>
      </c>
      <c r="F112" s="31" t="s">
        <v>246</v>
      </c>
      <c r="G112" s="102" t="s">
        <v>411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22">
        <v>107</v>
      </c>
      <c r="C113" s="32" t="s">
        <v>270</v>
      </c>
      <c r="D113" s="32" t="s">
        <v>271</v>
      </c>
      <c r="E113" s="32">
        <v>7276952151</v>
      </c>
      <c r="F113" s="33" t="s">
        <v>246</v>
      </c>
      <c r="G113" s="9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22">
        <v>108</v>
      </c>
      <c r="C114" s="30" t="s">
        <v>272</v>
      </c>
      <c r="D114" s="30" t="s">
        <v>273</v>
      </c>
      <c r="E114" s="30">
        <v>9082413633</v>
      </c>
      <c r="F114" s="31" t="s">
        <v>246</v>
      </c>
      <c r="G114" s="9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22">
        <v>109</v>
      </c>
      <c r="C115" s="32" t="s">
        <v>274</v>
      </c>
      <c r="D115" s="32" t="s">
        <v>275</v>
      </c>
      <c r="E115" s="32">
        <v>9769697836</v>
      </c>
      <c r="F115" s="33" t="s">
        <v>246</v>
      </c>
      <c r="G115" s="9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22">
        <v>110</v>
      </c>
      <c r="C116" s="30" t="s">
        <v>276</v>
      </c>
      <c r="D116" s="30" t="s">
        <v>277</v>
      </c>
      <c r="E116" s="30">
        <v>9702736674</v>
      </c>
      <c r="F116" s="31" t="s">
        <v>246</v>
      </c>
      <c r="G116" s="9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22">
        <v>111</v>
      </c>
      <c r="C117" s="32" t="s">
        <v>278</v>
      </c>
      <c r="D117" s="32" t="s">
        <v>279</v>
      </c>
      <c r="E117" s="32">
        <v>8424849235</v>
      </c>
      <c r="F117" s="33" t="s">
        <v>246</v>
      </c>
      <c r="G117" s="9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22">
        <v>112</v>
      </c>
      <c r="C118" s="30" t="s">
        <v>280</v>
      </c>
      <c r="D118" s="30" t="s">
        <v>281</v>
      </c>
      <c r="E118" s="30">
        <v>9372970230</v>
      </c>
      <c r="F118" s="31" t="s">
        <v>246</v>
      </c>
      <c r="G118" s="9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22">
        <v>113</v>
      </c>
      <c r="C119" s="32" t="s">
        <v>282</v>
      </c>
      <c r="D119" s="32" t="s">
        <v>283</v>
      </c>
      <c r="E119" s="32">
        <v>8369603718</v>
      </c>
      <c r="F119" s="33" t="s">
        <v>246</v>
      </c>
      <c r="G119" s="9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22">
        <v>114</v>
      </c>
      <c r="C120" s="30" t="s">
        <v>284</v>
      </c>
      <c r="D120" s="30" t="s">
        <v>285</v>
      </c>
      <c r="E120" s="30">
        <v>8928972578</v>
      </c>
      <c r="F120" s="31" t="s">
        <v>246</v>
      </c>
      <c r="G120" s="9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22">
        <v>115</v>
      </c>
      <c r="C121" s="32" t="s">
        <v>286</v>
      </c>
      <c r="D121" s="32" t="s">
        <v>287</v>
      </c>
      <c r="E121" s="32">
        <v>7030988998</v>
      </c>
      <c r="F121" s="33" t="s">
        <v>246</v>
      </c>
      <c r="G121" s="9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8">
        <v>116</v>
      </c>
      <c r="C122" s="54" t="s">
        <v>289</v>
      </c>
      <c r="D122" s="54" t="s">
        <v>290</v>
      </c>
      <c r="E122" s="54">
        <v>7208178218</v>
      </c>
      <c r="F122" s="56" t="s">
        <v>246</v>
      </c>
      <c r="G122" s="102" t="s">
        <v>417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22">
        <v>117</v>
      </c>
      <c r="C123" s="32" t="s">
        <v>292</v>
      </c>
      <c r="D123" s="32" t="s">
        <v>293</v>
      </c>
      <c r="E123" s="32">
        <v>9136103276</v>
      </c>
      <c r="F123" s="33" t="s">
        <v>246</v>
      </c>
      <c r="G123" s="9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22">
        <v>118</v>
      </c>
      <c r="C124" s="30" t="s">
        <v>294</v>
      </c>
      <c r="D124" s="30" t="s">
        <v>295</v>
      </c>
      <c r="E124" s="30">
        <v>8657734516</v>
      </c>
      <c r="F124" s="31" t="s">
        <v>246</v>
      </c>
      <c r="G124" s="9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22">
        <v>119</v>
      </c>
      <c r="C125" s="32" t="s">
        <v>296</v>
      </c>
      <c r="D125" s="32" t="s">
        <v>297</v>
      </c>
      <c r="E125" s="32">
        <v>9136799394</v>
      </c>
      <c r="F125" s="33" t="s">
        <v>246</v>
      </c>
      <c r="G125" s="9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22">
        <v>120</v>
      </c>
      <c r="C126" s="30" t="s">
        <v>298</v>
      </c>
      <c r="D126" s="30" t="s">
        <v>299</v>
      </c>
      <c r="E126" s="30">
        <v>8108921431</v>
      </c>
      <c r="F126" s="31" t="s">
        <v>246</v>
      </c>
      <c r="G126" s="9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22">
        <v>121</v>
      </c>
      <c r="C127" s="32" t="s">
        <v>300</v>
      </c>
      <c r="D127" s="32" t="s">
        <v>301</v>
      </c>
      <c r="E127" s="32">
        <v>8169709655</v>
      </c>
      <c r="F127" s="33" t="s">
        <v>246</v>
      </c>
      <c r="G127" s="9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22">
        <v>122</v>
      </c>
      <c r="C128" s="30" t="s">
        <v>302</v>
      </c>
      <c r="D128" s="30" t="s">
        <v>303</v>
      </c>
      <c r="E128" s="30">
        <v>9769361792</v>
      </c>
      <c r="F128" s="31" t="s">
        <v>246</v>
      </c>
      <c r="G128" s="9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22">
        <v>123</v>
      </c>
      <c r="C129" s="32" t="s">
        <v>304</v>
      </c>
      <c r="D129" s="32" t="s">
        <v>305</v>
      </c>
      <c r="E129" s="32">
        <v>7208691340</v>
      </c>
      <c r="F129" s="33" t="s">
        <v>246</v>
      </c>
      <c r="G129" s="9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22">
        <v>124</v>
      </c>
      <c r="C130" s="30" t="s">
        <v>307</v>
      </c>
      <c r="D130" s="30" t="s">
        <v>308</v>
      </c>
      <c r="E130" s="30">
        <v>9221679407</v>
      </c>
      <c r="F130" s="31" t="s">
        <v>246</v>
      </c>
      <c r="G130" s="9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39">
        <v>125</v>
      </c>
      <c r="C131" s="40" t="s">
        <v>309</v>
      </c>
      <c r="D131" s="40" t="s">
        <v>310</v>
      </c>
      <c r="E131" s="40" t="s">
        <v>311</v>
      </c>
      <c r="F131" s="41" t="s">
        <v>246</v>
      </c>
      <c r="G131" s="9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22">
        <v>126</v>
      </c>
      <c r="C132" s="30" t="s">
        <v>312</v>
      </c>
      <c r="D132" s="30" t="s">
        <v>313</v>
      </c>
      <c r="E132" s="30">
        <v>7304610280</v>
      </c>
      <c r="F132" s="31" t="s">
        <v>246</v>
      </c>
      <c r="G132" s="103" t="s">
        <v>422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22">
        <v>127</v>
      </c>
      <c r="C133" s="32" t="s">
        <v>314</v>
      </c>
      <c r="D133" s="32" t="s">
        <v>315</v>
      </c>
      <c r="E133" s="32">
        <v>9967443912</v>
      </c>
      <c r="F133" s="33" t="s">
        <v>246</v>
      </c>
      <c r="G133" s="9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22">
        <v>128</v>
      </c>
      <c r="C134" s="30" t="s">
        <v>317</v>
      </c>
      <c r="D134" s="30" t="s">
        <v>318</v>
      </c>
      <c r="E134" s="30">
        <v>8850479642</v>
      </c>
      <c r="F134" s="31" t="s">
        <v>246</v>
      </c>
      <c r="G134" s="9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22">
        <v>129</v>
      </c>
      <c r="C135" s="32" t="s">
        <v>319</v>
      </c>
      <c r="D135" s="32" t="s">
        <v>320</v>
      </c>
      <c r="E135" s="32">
        <v>9892222117</v>
      </c>
      <c r="F135" s="33" t="s">
        <v>246</v>
      </c>
      <c r="G135" s="9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22">
        <v>130</v>
      </c>
      <c r="C136" s="30" t="s">
        <v>321</v>
      </c>
      <c r="D136" s="30" t="s">
        <v>322</v>
      </c>
      <c r="E136" s="30">
        <v>7021025958</v>
      </c>
      <c r="F136" s="31" t="s">
        <v>246</v>
      </c>
      <c r="G136" s="9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22">
        <v>131</v>
      </c>
      <c r="C137" s="32" t="s">
        <v>323</v>
      </c>
      <c r="D137" s="32" t="s">
        <v>324</v>
      </c>
      <c r="E137" s="32">
        <v>8591915445</v>
      </c>
      <c r="F137" s="33" t="s">
        <v>246</v>
      </c>
      <c r="G137" s="9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22">
        <v>132</v>
      </c>
      <c r="C138" s="30" t="s">
        <v>326</v>
      </c>
      <c r="D138" s="30" t="s">
        <v>327</v>
      </c>
      <c r="E138" s="30">
        <v>9421167547</v>
      </c>
      <c r="F138" s="31" t="s">
        <v>246</v>
      </c>
      <c r="G138" s="9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22">
        <v>133</v>
      </c>
      <c r="C139" s="32" t="s">
        <v>328</v>
      </c>
      <c r="D139" s="32" t="s">
        <v>329</v>
      </c>
      <c r="E139" s="32">
        <v>7039376721</v>
      </c>
      <c r="F139" s="33" t="s">
        <v>246</v>
      </c>
      <c r="G139" s="9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22">
        <v>134</v>
      </c>
      <c r="C140" s="30" t="s">
        <v>330</v>
      </c>
      <c r="D140" s="30" t="s">
        <v>331</v>
      </c>
      <c r="E140" s="30">
        <v>9372740126</v>
      </c>
      <c r="F140" s="31" t="s">
        <v>246</v>
      </c>
      <c r="G140" s="9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39">
        <v>135</v>
      </c>
      <c r="C141" s="40" t="s">
        <v>332</v>
      </c>
      <c r="D141" s="40" t="s">
        <v>333</v>
      </c>
      <c r="E141" s="40">
        <v>8928864761</v>
      </c>
      <c r="F141" s="41" t="s">
        <v>246</v>
      </c>
      <c r="G141" s="9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8">
        <v>136</v>
      </c>
      <c r="C142" s="54" t="s">
        <v>180</v>
      </c>
      <c r="D142" s="54" t="s">
        <v>185</v>
      </c>
      <c r="E142" s="54">
        <v>9987923493</v>
      </c>
      <c r="F142" s="56" t="s">
        <v>192</v>
      </c>
      <c r="G142" s="102" t="s">
        <v>428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22">
        <v>137</v>
      </c>
      <c r="C143" s="32" t="s">
        <v>336</v>
      </c>
      <c r="D143" s="32" t="s">
        <v>337</v>
      </c>
      <c r="E143" s="32">
        <v>8779982858</v>
      </c>
      <c r="F143" s="33" t="s">
        <v>192</v>
      </c>
      <c r="G143" s="9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22">
        <v>138</v>
      </c>
      <c r="C144" s="30" t="s">
        <v>338</v>
      </c>
      <c r="D144" s="30" t="s">
        <v>339</v>
      </c>
      <c r="E144" s="30">
        <v>9370895011</v>
      </c>
      <c r="F144" s="31" t="s">
        <v>192</v>
      </c>
      <c r="G144" s="9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22">
        <v>139</v>
      </c>
      <c r="C145" s="32" t="s">
        <v>340</v>
      </c>
      <c r="D145" s="32" t="s">
        <v>341</v>
      </c>
      <c r="E145" s="32">
        <v>9156680305</v>
      </c>
      <c r="F145" s="33" t="s">
        <v>192</v>
      </c>
      <c r="G145" s="9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22">
        <v>140</v>
      </c>
      <c r="C146" s="30" t="s">
        <v>342</v>
      </c>
      <c r="D146" s="30" t="s">
        <v>343</v>
      </c>
      <c r="E146" s="30">
        <v>8108362135</v>
      </c>
      <c r="F146" s="31" t="s">
        <v>192</v>
      </c>
      <c r="G146" s="9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22">
        <v>141</v>
      </c>
      <c r="C147" s="32" t="s">
        <v>344</v>
      </c>
      <c r="D147" s="32" t="s">
        <v>345</v>
      </c>
      <c r="E147" s="32">
        <v>8108470263</v>
      </c>
      <c r="F147" s="33" t="s">
        <v>192</v>
      </c>
      <c r="G147" s="9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22">
        <v>142</v>
      </c>
      <c r="C148" s="30" t="s">
        <v>346</v>
      </c>
      <c r="D148" s="30" t="s">
        <v>347</v>
      </c>
      <c r="E148" s="30">
        <v>8169347565</v>
      </c>
      <c r="F148" s="31" t="s">
        <v>192</v>
      </c>
      <c r="G148" s="9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22">
        <v>143</v>
      </c>
      <c r="C149" s="32" t="s">
        <v>348</v>
      </c>
      <c r="D149" s="32" t="s">
        <v>349</v>
      </c>
      <c r="E149" s="32">
        <v>9326899522</v>
      </c>
      <c r="F149" s="33" t="s">
        <v>192</v>
      </c>
      <c r="G149" s="9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22">
        <v>144</v>
      </c>
      <c r="C150" s="30" t="s">
        <v>350</v>
      </c>
      <c r="D150" s="30" t="s">
        <v>351</v>
      </c>
      <c r="E150" s="30">
        <v>9321650356</v>
      </c>
      <c r="F150" s="31" t="s">
        <v>192</v>
      </c>
      <c r="G150" s="9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39">
        <v>145</v>
      </c>
      <c r="C151" s="40" t="s">
        <v>352</v>
      </c>
      <c r="D151" s="40" t="s">
        <v>353</v>
      </c>
      <c r="E151" s="40">
        <v>9967825092</v>
      </c>
      <c r="F151" s="41" t="s">
        <v>192</v>
      </c>
      <c r="G151" s="9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22">
        <v>146</v>
      </c>
      <c r="C152" s="30" t="s">
        <v>354</v>
      </c>
      <c r="D152" s="30" t="s">
        <v>355</v>
      </c>
      <c r="E152" s="30">
        <v>9822240877</v>
      </c>
      <c r="F152" s="31" t="s">
        <v>192</v>
      </c>
      <c r="G152" s="102" t="s">
        <v>434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22">
        <v>147</v>
      </c>
      <c r="C153" s="32" t="s">
        <v>356</v>
      </c>
      <c r="D153" s="32" t="s">
        <v>357</v>
      </c>
      <c r="E153" s="32">
        <v>7021646554</v>
      </c>
      <c r="F153" s="33" t="s">
        <v>192</v>
      </c>
      <c r="G153" s="9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22">
        <v>148</v>
      </c>
      <c r="C154" s="30" t="s">
        <v>359</v>
      </c>
      <c r="D154" s="30" t="s">
        <v>360</v>
      </c>
      <c r="E154" s="30">
        <v>8828593750</v>
      </c>
      <c r="F154" s="31" t="s">
        <v>192</v>
      </c>
      <c r="G154" s="9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22">
        <v>149</v>
      </c>
      <c r="C155" s="32" t="s">
        <v>361</v>
      </c>
      <c r="D155" s="32" t="s">
        <v>362</v>
      </c>
      <c r="E155" s="32">
        <v>8591733255</v>
      </c>
      <c r="F155" s="33" t="s">
        <v>192</v>
      </c>
      <c r="G155" s="9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22">
        <v>150</v>
      </c>
      <c r="C156" s="30" t="s">
        <v>363</v>
      </c>
      <c r="D156" s="30" t="s">
        <v>364</v>
      </c>
      <c r="E156" s="30">
        <v>7218680925</v>
      </c>
      <c r="F156" s="31" t="s">
        <v>192</v>
      </c>
      <c r="G156" s="9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22">
        <v>151</v>
      </c>
      <c r="C157" s="32" t="s">
        <v>365</v>
      </c>
      <c r="D157" s="32" t="s">
        <v>366</v>
      </c>
      <c r="E157" s="32">
        <v>9892940681</v>
      </c>
      <c r="F157" s="33" t="s">
        <v>192</v>
      </c>
      <c r="G157" s="9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22">
        <v>152</v>
      </c>
      <c r="C158" s="30" t="s">
        <v>369</v>
      </c>
      <c r="D158" s="30" t="s">
        <v>370</v>
      </c>
      <c r="E158" s="30">
        <v>9137227466</v>
      </c>
      <c r="F158" s="31" t="s">
        <v>192</v>
      </c>
      <c r="G158" s="9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22">
        <v>153</v>
      </c>
      <c r="C159" s="32" t="s">
        <v>372</v>
      </c>
      <c r="D159" s="32" t="s">
        <v>373</v>
      </c>
      <c r="E159" s="32">
        <v>7021407297</v>
      </c>
      <c r="F159" s="33" t="s">
        <v>192</v>
      </c>
      <c r="G159" s="9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22">
        <v>154</v>
      </c>
      <c r="C160" s="30" t="s">
        <v>374</v>
      </c>
      <c r="D160" s="30" t="s">
        <v>375</v>
      </c>
      <c r="E160" s="30">
        <v>7738299420</v>
      </c>
      <c r="F160" s="31" t="s">
        <v>192</v>
      </c>
      <c r="G160" s="9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39">
        <v>155</v>
      </c>
      <c r="C161" s="40" t="s">
        <v>377</v>
      </c>
      <c r="D161" s="40" t="s">
        <v>378</v>
      </c>
      <c r="E161" s="40">
        <v>8369751304</v>
      </c>
      <c r="F161" s="41" t="s">
        <v>192</v>
      </c>
      <c r="G161" s="9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22">
        <v>156</v>
      </c>
      <c r="C162" s="30" t="s">
        <v>379</v>
      </c>
      <c r="D162" s="30" t="s">
        <v>380</v>
      </c>
      <c r="E162" s="30">
        <v>8779301875</v>
      </c>
      <c r="F162" s="31" t="s">
        <v>381</v>
      </c>
      <c r="G162" s="104" t="s">
        <v>439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22">
        <v>157</v>
      </c>
      <c r="C163" s="32" t="s">
        <v>383</v>
      </c>
      <c r="D163" s="32" t="s">
        <v>384</v>
      </c>
      <c r="E163" s="32">
        <v>9336798344</v>
      </c>
      <c r="F163" s="33" t="s">
        <v>381</v>
      </c>
      <c r="G163" s="9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22">
        <v>158</v>
      </c>
      <c r="C164" s="30" t="s">
        <v>386</v>
      </c>
      <c r="D164" s="30" t="s">
        <v>387</v>
      </c>
      <c r="E164" s="30">
        <v>8169602972</v>
      </c>
      <c r="F164" s="31" t="s">
        <v>381</v>
      </c>
      <c r="G164" s="10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22">
        <v>159</v>
      </c>
      <c r="C165" s="32" t="s">
        <v>388</v>
      </c>
      <c r="D165" s="32" t="s">
        <v>389</v>
      </c>
      <c r="E165" s="32">
        <v>8928057743</v>
      </c>
      <c r="F165" s="33" t="s">
        <v>381</v>
      </c>
      <c r="G165" s="9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22">
        <v>160</v>
      </c>
      <c r="C166" s="30" t="s">
        <v>390</v>
      </c>
      <c r="D166" s="30" t="s">
        <v>391</v>
      </c>
      <c r="E166" s="30">
        <v>9004457842</v>
      </c>
      <c r="F166" s="31" t="s">
        <v>381</v>
      </c>
      <c r="G166" s="10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22">
        <v>161</v>
      </c>
      <c r="C167" s="32" t="s">
        <v>392</v>
      </c>
      <c r="D167" s="32" t="s">
        <v>393</v>
      </c>
      <c r="E167" s="32">
        <v>9209969299</v>
      </c>
      <c r="F167" s="33" t="s">
        <v>381</v>
      </c>
      <c r="G167" s="9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39">
        <v>162</v>
      </c>
      <c r="C168" s="59" t="s">
        <v>395</v>
      </c>
      <c r="D168" s="59" t="s">
        <v>396</v>
      </c>
      <c r="E168" s="59">
        <v>9137024507</v>
      </c>
      <c r="F168" s="60" t="s">
        <v>381</v>
      </c>
      <c r="G168" s="10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autoFilter ref="B6:G168" xr:uid="{00000000-0009-0000-0000-000003000000}">
    <sortState xmlns:xlrd2="http://schemas.microsoft.com/office/spreadsheetml/2017/richdata2" ref="B6:G168">
      <sortCondition ref="F6:F168"/>
    </sortState>
  </autoFilter>
  <mergeCells count="19">
    <mergeCell ref="G152:G161"/>
    <mergeCell ref="G162:G168"/>
    <mergeCell ref="G50:G60"/>
    <mergeCell ref="G61:G71"/>
    <mergeCell ref="G72:G81"/>
    <mergeCell ref="G82:G91"/>
    <mergeCell ref="G92:G101"/>
    <mergeCell ref="G102:G111"/>
    <mergeCell ref="G112:G121"/>
    <mergeCell ref="G28:G38"/>
    <mergeCell ref="G39:G49"/>
    <mergeCell ref="G122:G131"/>
    <mergeCell ref="G132:G141"/>
    <mergeCell ref="G142:G151"/>
    <mergeCell ref="B2:G2"/>
    <mergeCell ref="B3:G3"/>
    <mergeCell ref="B4:G4"/>
    <mergeCell ref="G7:G16"/>
    <mergeCell ref="G17:G27"/>
  </mergeCells>
  <dataValidations count="1">
    <dataValidation type="custom" allowBlank="1" showErrorMessage="1" sqref="C7:C168" xr:uid="{00000000-0002-0000-0300-000000000000}">
      <formula1>EXACT(C7, UPPER(C7))</formula1>
    </dataValidation>
  </dataValidations>
  <printOptions horizontalCentered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Responses 1</vt:lpstr>
      <vt:lpstr>Payment Status</vt:lpstr>
      <vt:lpstr>Registered Students</vt:lpstr>
      <vt:lpstr>Mentor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Vedant Angre</cp:lastModifiedBy>
  <dcterms:modified xsi:type="dcterms:W3CDTF">2026-09-24T16:23:51Z</dcterms:modified>
</cp:coreProperties>
</file>